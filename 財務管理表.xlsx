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每日記錄 Daily Input" sheetId="1" state="visible" r:id="rId1"/>
    <sheet name="月報表 Monthly Summary" sheetId="2" state="visible" r:id="rId2"/>
    <sheet name="儀表板 Dashboard"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
  </numFmts>
  <fonts count="8">
    <font>
      <name val="Calibri"/>
      <family val="2"/>
      <color theme="1"/>
      <sz val="11"/>
      <scheme val="minor"/>
    </font>
    <font>
      <name val="Microsoft JhengHei"/>
      <b val="1"/>
      <color rgb="001F3864"/>
      <sz val="14"/>
    </font>
    <font>
      <name val="Microsoft JhengHei"/>
      <b val="1"/>
      <color rgb="00FFFFFF"/>
      <sz val="11"/>
    </font>
    <font>
      <name val="Microsoft JhengHei"/>
      <b val="1"/>
    </font>
    <font>
      <name val="Microsoft JhengHei"/>
      <b val="1"/>
      <color rgb="00FFFFFF"/>
    </font>
    <font>
      <name val="Microsoft JhengHei"/>
      <b val="1"/>
      <color rgb="001F3864"/>
      <sz val="18"/>
    </font>
    <font>
      <name val="Microsoft JhengHei"/>
      <color rgb="00666666"/>
      <sz val="12"/>
    </font>
    <font>
      <name val="Microsoft JhengHei"/>
      <b val="1"/>
      <color rgb="001F3864"/>
      <sz val="24"/>
    </font>
  </fonts>
  <fills count="7">
    <fill>
      <patternFill/>
    </fill>
    <fill>
      <patternFill patternType="gray125"/>
    </fill>
    <fill>
      <patternFill patternType="solid">
        <fgColor rgb="001F3864"/>
      </patternFill>
    </fill>
    <fill>
      <patternFill patternType="solid">
        <fgColor rgb="00E2EFDA"/>
      </patternFill>
    </fill>
    <fill>
      <patternFill patternType="solid">
        <fgColor rgb="00D9D9D9"/>
      </patternFill>
    </fill>
    <fill>
      <patternFill patternType="solid">
        <fgColor rgb="00F2F2F2"/>
      </patternFill>
    </fill>
    <fill>
      <patternFill patternType="solid">
        <fgColor rgb="002E75B6"/>
      </patternFill>
    </fill>
  </fills>
  <borders count="6">
    <border>
      <left/>
      <right/>
      <top/>
      <bottom/>
      <diagonal/>
    </border>
    <border>
      <left style="thin">
        <color rgb="00BFBFBF"/>
      </left>
      <right style="thin">
        <color rgb="00BFBFBF"/>
      </right>
      <top style="thin">
        <color rgb="00BFBFBF"/>
      </top>
      <bottom style="thin">
        <color rgb="00BFBFBF"/>
      </bottom>
    </border>
    <border>
      <left style="medium">
        <color rgb="002E75B6"/>
      </left>
      <right style="thin"/>
      <top style="medium">
        <color rgb="002E75B6"/>
      </top>
      <bottom style="thin"/>
    </border>
    <border>
      <left style="thin"/>
      <right style="medium">
        <color rgb="002E75B6"/>
      </right>
      <top style="medium">
        <color rgb="002E75B6"/>
      </top>
      <bottom style="thin"/>
    </border>
    <border>
      <left style="medium">
        <color rgb="002E75B6"/>
      </left>
      <right style="thin"/>
      <top style="thin"/>
      <bottom style="medium">
        <color rgb="002E75B6"/>
      </bottom>
    </border>
    <border>
      <left style="thin"/>
      <right style="medium">
        <color rgb="002E75B6"/>
      </right>
      <top style="thin"/>
      <bottom style="medium">
        <color rgb="002E75B6"/>
      </bottom>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165" fontId="0" fillId="0" borderId="1" applyAlignment="1" applyProtection="1" pivotButton="0" quotePrefix="0" xfId="0">
      <alignment horizontal="center" vertical="center"/>
      <protection locked="0" hidden="0"/>
    </xf>
    <xf numFmtId="3" fontId="0" fillId="3" borderId="1" applyAlignment="1" applyProtection="1" pivotButton="0" quotePrefix="0" xfId="0">
      <alignment horizontal="center" vertical="center"/>
      <protection locked="0" hidden="0"/>
    </xf>
    <xf numFmtId="3" fontId="0" fillId="4" borderId="1" applyAlignment="1" pivotButton="0" quotePrefix="0" xfId="0">
      <alignment horizontal="center" vertical="center"/>
    </xf>
    <xf numFmtId="166" fontId="0" fillId="4" borderId="1" applyAlignment="1" pivotButton="0" quotePrefix="0" xfId="0">
      <alignment horizontal="center" vertical="center"/>
    </xf>
    <xf numFmtId="0" fontId="0" fillId="3" borderId="1" applyAlignment="1" applyProtection="1" pivotButton="0" quotePrefix="0" xfId="0">
      <alignment horizontal="center" vertical="center"/>
      <protection locked="0" hidden="0"/>
    </xf>
    <xf numFmtId="165" fontId="0" fillId="5" borderId="1" applyAlignment="1" applyProtection="1" pivotButton="0" quotePrefix="0" xfId="0">
      <alignment horizontal="center" vertical="center"/>
      <protection locked="0" hidden="0"/>
    </xf>
    <xf numFmtId="0" fontId="4" fillId="6" borderId="1" applyAlignment="1" applyProtection="1" pivotButton="0" quotePrefix="0" xfId="0">
      <alignment horizontal="center" vertical="center"/>
      <protection locked="0" hidden="0"/>
    </xf>
    <xf numFmtId="3" fontId="4" fillId="6" borderId="1" applyAlignment="1" applyProtection="1" pivotButton="0" quotePrefix="0" xfId="0">
      <alignment horizontal="center" vertical="center"/>
      <protection locked="0" hidden="0"/>
    </xf>
    <xf numFmtId="3" fontId="4" fillId="6" borderId="1" applyAlignment="1" pivotButton="0" quotePrefix="0" xfId="0">
      <alignment horizontal="center" vertical="center"/>
    </xf>
    <xf numFmtId="166" fontId="4" fillId="6" borderId="1" applyAlignment="1" pivotButton="0" quotePrefix="0" xfId="0">
      <alignment horizontal="center" vertical="center"/>
    </xf>
    <xf numFmtId="0" fontId="0" fillId="0" borderId="0" applyProtection="1" pivotButton="0" quotePrefix="0" xfId="0">
      <protection locked="0" hidden="0"/>
    </xf>
    <xf numFmtId="0" fontId="1" fillId="0" borderId="0" applyAlignment="1" pivotButton="0" quotePrefix="0" xfId="0">
      <alignment horizontal="center"/>
    </xf>
    <xf numFmtId="0" fontId="3" fillId="0" borderId="1" applyAlignment="1" pivotButton="0" quotePrefix="0" xfId="0">
      <alignment horizontal="center" vertical="center"/>
    </xf>
    <xf numFmtId="0" fontId="3" fillId="5" borderId="1" applyAlignment="1" pivotButton="0" quotePrefix="0" xfId="0">
      <alignment horizontal="center" vertical="center"/>
    </xf>
    <xf numFmtId="0" fontId="4" fillId="6" borderId="1" applyAlignment="1" pivotButton="0" quotePrefix="0" xfId="0">
      <alignment horizontal="center" vertical="center"/>
    </xf>
    <xf numFmtId="0" fontId="5" fillId="0" borderId="0" applyAlignment="1" pivotButton="0" quotePrefix="0" xfId="0">
      <alignment horizontal="center"/>
    </xf>
    <xf numFmtId="0" fontId="6" fillId="0" borderId="2" applyAlignment="1" pivotButton="0" quotePrefix="0" xfId="0">
      <alignment horizontal="center" vertical="center" wrapText="1"/>
    </xf>
    <xf numFmtId="0" fontId="0" fillId="0" borderId="3" pivotButton="0" quotePrefix="0" xfId="0"/>
    <xf numFmtId="3" fontId="7" fillId="0" borderId="4" applyAlignment="1" pivotButton="0" quotePrefix="0" xfId="0">
      <alignment horizontal="center" vertical="center"/>
    </xf>
    <xf numFmtId="0" fontId="0" fillId="0" borderId="5" pivotButton="0" quotePrefix="0" xfId="0"/>
    <xf numFmtId="166" fontId="7" fillId="0" borderId="4"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月營收 vs 成本 vs 毛利</a:t>
            </a:r>
          </a:p>
        </rich>
      </tx>
    </title>
    <plotArea>
      <barChart>
        <barDir val="col"/>
        <grouping val="clustered"/>
        <ser>
          <idx val="0"/>
          <order val="0"/>
          <tx>
            <strRef>
              <f>'月報表 Monthly Summary'!B2</f>
            </strRef>
          </tx>
          <spPr>
            <a:solidFill>
              <a:srgbClr val="2E75B6"/>
            </a:solidFill>
            <a:ln>
              <a:prstDash val="solid"/>
            </a:ln>
          </spPr>
          <cat>
            <numRef>
              <f>'月報表 Monthly Summary'!$A$3:$A$14</f>
            </numRef>
          </cat>
          <val>
            <numRef>
              <f>'月報表 Monthly Summary'!$B$3:$B$14</f>
            </numRef>
          </val>
        </ser>
        <ser>
          <idx val="1"/>
          <order val="1"/>
          <tx>
            <strRef>
              <f>'月報表 Monthly Summary'!C2</f>
            </strRef>
          </tx>
          <spPr>
            <a:solidFill>
              <a:srgbClr val="ED7D31"/>
            </a:solidFill>
            <a:ln>
              <a:prstDash val="solid"/>
            </a:ln>
          </spPr>
          <cat>
            <numRef>
              <f>'月報表 Monthly Summary'!$A$3:$A$14</f>
            </numRef>
          </cat>
          <val>
            <numRef>
              <f>'月報表 Monthly Summary'!$C$3:$C$14</f>
            </numRef>
          </val>
        </ser>
        <ser>
          <idx val="2"/>
          <order val="2"/>
          <tx>
            <strRef>
              <f>'月報表 Monthly Summary'!D2</f>
            </strRef>
          </tx>
          <spPr>
            <a:solidFill>
              <a:srgbClr val="70AD47"/>
            </a:solidFill>
            <a:ln>
              <a:prstDash val="solid"/>
            </a:ln>
          </spPr>
          <cat>
            <numRef>
              <f>'月報表 Monthly Summary'!$A$3:$A$14</f>
            </numRef>
          </cat>
          <val>
            <numRef>
              <f>'月報表 Monthly Summary'!$D$3:$D$14</f>
            </numRef>
          </val>
        </ser>
        <gapWidth val="150"/>
        <axId val="10"/>
        <axId val="100"/>
      </barChart>
      <catAx>
        <axId val="10"/>
        <scaling>
          <orientation val="minMax"/>
        </scaling>
        <axPos val="l"/>
        <title>
          <tx>
            <rich>
              <a:bodyPr/>
              <a:p>
                <a:pPr>
                  <a:defRPr/>
                </a:pPr>
                <a:r>
                  <a:t>月份</a:t>
                </a:r>
              </a:p>
            </rich>
          </tx>
        </title>
        <majorTickMark val="none"/>
        <minorTickMark val="none"/>
        <crossAx val="100"/>
        <lblOffset val="100"/>
      </catAx>
      <valAx>
        <axId val="100"/>
        <scaling>
          <orientation val="minMax"/>
        </scaling>
        <axPos val="l"/>
        <majorGridlines/>
        <title>
          <tx>
            <rich>
              <a:bodyPr/>
              <a:p>
                <a:pPr>
                  <a:defRPr/>
                </a:pPr>
                <a:r>
                  <a:t>金額</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營收 &amp; 毛利月趨勢 Revenue &amp; GP Trend</a:t>
            </a:r>
          </a:p>
        </rich>
      </tx>
    </title>
    <plotArea>
      <lineChart>
        <grouping val="standard"/>
        <ser>
          <idx val="0"/>
          <order val="0"/>
          <tx>
            <strRef>
              <f>'月報表 Monthly Summary'!B2</f>
            </strRef>
          </tx>
          <spPr>
            <a:ln>
              <a:solidFill>
                <a:srgbClr val="2E75B6"/>
              </a:solidFill>
              <a:prstDash val="solid"/>
            </a:ln>
          </spPr>
          <marker>
            <symbol val="none"/>
            <spPr>
              <a:ln>
                <a:prstDash val="solid"/>
              </a:ln>
            </spPr>
          </marker>
          <cat>
            <numRef>
              <f>'月報表 Monthly Summary'!$A$3:$A$14</f>
            </numRef>
          </cat>
          <val>
            <numRef>
              <f>'月報表 Monthly Summary'!$B$3:$B$14</f>
            </numRef>
          </val>
        </ser>
        <ser>
          <idx val="1"/>
          <order val="1"/>
          <tx>
            <strRef>
              <f>'月報表 Monthly Summary'!D2</f>
            </strRef>
          </tx>
          <spPr>
            <a:ln>
              <a:solidFill>
                <a:srgbClr val="70AD47"/>
              </a:solidFill>
              <a:prstDash val="solid"/>
            </a:ln>
          </spPr>
          <marker>
            <symbol val="none"/>
            <spPr>
              <a:ln>
                <a:prstDash val="solid"/>
              </a:ln>
            </spPr>
          </marker>
          <cat>
            <numRef>
              <f>'月報表 Monthly Summary'!$A$3:$A$14</f>
            </numRef>
          </cat>
          <val>
            <numRef>
              <f>'月報表 Monthly Summary'!$D$3:$D$14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金額</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本月費用結構 Expense Breakdown</a:t>
            </a:r>
          </a:p>
        </rich>
      </tx>
    </title>
    <plotArea>
      <pieChart>
        <varyColors val="1"/>
        <ser>
          <idx val="0"/>
          <order val="0"/>
          <spPr>
            <a:ln>
              <a:prstDash val="solid"/>
            </a:ln>
          </spPr>
          <cat>
            <numRef>
              <f>'儀表板 Dashboard'!$A$25:$A$28</f>
            </numRef>
          </cat>
          <val>
            <numRef>
              <f>'儀表板 Dashboard'!$B$25:$B$28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16</row>
      <rowOff>0</rowOff>
    </from>
    <ext cx="864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8640000" cy="504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22</row>
      <rowOff>0</rowOff>
    </from>
    <ext cx="5760000" cy="50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M33"/>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2" customWidth="1" min="5" max="5"/>
    <col width="14" customWidth="1" min="6" max="6"/>
    <col width="12" customWidth="1" min="7" max="7"/>
    <col width="14" customWidth="1" min="8" max="8"/>
    <col width="12" customWidth="1" min="9" max="9"/>
    <col width="14" customWidth="1" min="10" max="10"/>
    <col width="14" customWidth="1" min="11" max="11"/>
    <col width="12" customWidth="1" min="12" max="12"/>
    <col width="20" customWidth="1" min="13" max="13"/>
  </cols>
  <sheetData>
    <row r="1" ht="30" customHeight="1">
      <c r="A1" s="1" t="inlineStr">
        <is>
          <t>每日財務記錄 Daily Financial Input</t>
        </is>
      </c>
    </row>
    <row r="2" ht="40" customHeight="1">
      <c r="A2" s="2" t="inlineStr">
        <is>
          <t>日期
Date</t>
        </is>
      </c>
      <c r="B2" s="2" t="inlineStr">
        <is>
          <t>營收
Revenue</t>
        </is>
      </c>
      <c r="C2" s="2" t="inlineStr">
        <is>
          <t>銷貨成本
COGS</t>
        </is>
      </c>
      <c r="D2" s="2" t="inlineStr">
        <is>
          <t>人事費用
Payroll</t>
        </is>
      </c>
      <c r="E2" s="2" t="inlineStr">
        <is>
          <t>租金
Rent</t>
        </is>
      </c>
      <c r="F2" s="2" t="inlineStr">
        <is>
          <t>行銷費用
Marketing</t>
        </is>
      </c>
      <c r="G2" s="2" t="inlineStr">
        <is>
          <t>其他費用
Other</t>
        </is>
      </c>
      <c r="H2" s="2" t="inlineStr">
        <is>
          <t>毛利
Gross Profit</t>
        </is>
      </c>
      <c r="I2" s="2" t="inlineStr">
        <is>
          <t>毛利率
Gross Margin</t>
        </is>
      </c>
      <c r="J2" s="2" t="inlineStr">
        <is>
          <t>營業費用合計
Total OpEx</t>
        </is>
      </c>
      <c r="K2" s="2" t="inlineStr">
        <is>
          <t>營業利益
Operating Income</t>
        </is>
      </c>
      <c r="L2" s="2" t="inlineStr">
        <is>
          <t>營業利益率
OI Margin</t>
        </is>
      </c>
      <c r="M2" s="2" t="inlineStr">
        <is>
          <t>備註
Notes</t>
        </is>
      </c>
    </row>
    <row r="3">
      <c r="A3" s="3" t="n">
        <v>46054</v>
      </c>
      <c r="B3" s="4" t="n"/>
      <c r="C3" s="4" t="n"/>
      <c r="D3" s="4" t="n"/>
      <c r="E3" s="4" t="n"/>
      <c r="F3" s="4" t="n"/>
      <c r="G3" s="4" t="n"/>
      <c r="H3" s="5">
        <f>B3-C3</f>
        <v/>
      </c>
      <c r="I3" s="6">
        <f>IF(B3=0,"",H3/B3)</f>
        <v/>
      </c>
      <c r="J3" s="5">
        <f>D3+E3+F3+G3</f>
        <v/>
      </c>
      <c r="K3" s="5">
        <f>H3-J3</f>
        <v/>
      </c>
      <c r="L3" s="6">
        <f>IF(B3=0,"",K3/B3)</f>
        <v/>
      </c>
      <c r="M3" s="7" t="n"/>
    </row>
    <row r="4">
      <c r="A4" s="8" t="n">
        <v>46055</v>
      </c>
      <c r="B4" s="4" t="n"/>
      <c r="C4" s="4" t="n"/>
      <c r="D4" s="4" t="n"/>
      <c r="E4" s="4" t="n"/>
      <c r="F4" s="4" t="n"/>
      <c r="G4" s="4" t="n"/>
      <c r="H4" s="5">
        <f>B4-C4</f>
        <v/>
      </c>
      <c r="I4" s="6">
        <f>IF(B4=0,"",H4/B4)</f>
        <v/>
      </c>
      <c r="J4" s="5">
        <f>D4+E4+F4+G4</f>
        <v/>
      </c>
      <c r="K4" s="5">
        <f>H4-J4</f>
        <v/>
      </c>
      <c r="L4" s="6">
        <f>IF(B4=0,"",K4/B4)</f>
        <v/>
      </c>
      <c r="M4" s="7" t="n"/>
    </row>
    <row r="5">
      <c r="A5" s="3" t="n">
        <v>46056</v>
      </c>
      <c r="B5" s="4" t="n"/>
      <c r="C5" s="4" t="n"/>
      <c r="D5" s="4" t="n"/>
      <c r="E5" s="4" t="n"/>
      <c r="F5" s="4" t="n"/>
      <c r="G5" s="4" t="n"/>
      <c r="H5" s="5">
        <f>B5-C5</f>
        <v/>
      </c>
      <c r="I5" s="6">
        <f>IF(B5=0,"",H5/B5)</f>
        <v/>
      </c>
      <c r="J5" s="5">
        <f>D5+E5+F5+G5</f>
        <v/>
      </c>
      <c r="K5" s="5">
        <f>H5-J5</f>
        <v/>
      </c>
      <c r="L5" s="6">
        <f>IF(B5=0,"",K5/B5)</f>
        <v/>
      </c>
      <c r="M5" s="7" t="n"/>
    </row>
    <row r="6">
      <c r="A6" s="8" t="n">
        <v>46057</v>
      </c>
      <c r="B6" s="4" t="n"/>
      <c r="C6" s="4" t="n"/>
      <c r="D6" s="4" t="n"/>
      <c r="E6" s="4" t="n"/>
      <c r="F6" s="4" t="n"/>
      <c r="G6" s="4" t="n"/>
      <c r="H6" s="5">
        <f>B6-C6</f>
        <v/>
      </c>
      <c r="I6" s="6">
        <f>IF(B6=0,"",H6/B6)</f>
        <v/>
      </c>
      <c r="J6" s="5">
        <f>D6+E6+F6+G6</f>
        <v/>
      </c>
      <c r="K6" s="5">
        <f>H6-J6</f>
        <v/>
      </c>
      <c r="L6" s="6">
        <f>IF(B6=0,"",K6/B6)</f>
        <v/>
      </c>
      <c r="M6" s="7" t="n"/>
    </row>
    <row r="7">
      <c r="A7" s="3" t="n">
        <v>46058</v>
      </c>
      <c r="B7" s="4" t="n"/>
      <c r="C7" s="4" t="n"/>
      <c r="D7" s="4" t="n"/>
      <c r="E7" s="4" t="n"/>
      <c r="F7" s="4" t="n"/>
      <c r="G7" s="4" t="n"/>
      <c r="H7" s="5">
        <f>B7-C7</f>
        <v/>
      </c>
      <c r="I7" s="6">
        <f>IF(B7=0,"",H7/B7)</f>
        <v/>
      </c>
      <c r="J7" s="5">
        <f>D7+E7+F7+G7</f>
        <v/>
      </c>
      <c r="K7" s="5">
        <f>H7-J7</f>
        <v/>
      </c>
      <c r="L7" s="6">
        <f>IF(B7=0,"",K7/B7)</f>
        <v/>
      </c>
      <c r="M7" s="7" t="n"/>
    </row>
    <row r="8">
      <c r="A8" s="8" t="n">
        <v>46059</v>
      </c>
      <c r="B8" s="4" t="n"/>
      <c r="C8" s="4" t="n"/>
      <c r="D8" s="4" t="n"/>
      <c r="E8" s="4" t="n"/>
      <c r="F8" s="4" t="n"/>
      <c r="G8" s="4" t="n"/>
      <c r="H8" s="5">
        <f>B8-C8</f>
        <v/>
      </c>
      <c r="I8" s="6">
        <f>IF(B8=0,"",H8/B8)</f>
        <v/>
      </c>
      <c r="J8" s="5">
        <f>D8+E8+F8+G8</f>
        <v/>
      </c>
      <c r="K8" s="5">
        <f>H8-J8</f>
        <v/>
      </c>
      <c r="L8" s="6">
        <f>IF(B8=0,"",K8/B8)</f>
        <v/>
      </c>
      <c r="M8" s="7" t="n"/>
    </row>
    <row r="9">
      <c r="A9" s="3" t="n">
        <v>46060</v>
      </c>
      <c r="B9" s="4" t="n"/>
      <c r="C9" s="4" t="n"/>
      <c r="D9" s="4" t="n"/>
      <c r="E9" s="4" t="n"/>
      <c r="F9" s="4" t="n"/>
      <c r="G9" s="4" t="n"/>
      <c r="H9" s="5">
        <f>B9-C9</f>
        <v/>
      </c>
      <c r="I9" s="6">
        <f>IF(B9=0,"",H9/B9)</f>
        <v/>
      </c>
      <c r="J9" s="5">
        <f>D9+E9+F9+G9</f>
        <v/>
      </c>
      <c r="K9" s="5">
        <f>H9-J9</f>
        <v/>
      </c>
      <c r="L9" s="6">
        <f>IF(B9=0,"",K9/B9)</f>
        <v/>
      </c>
      <c r="M9" s="7" t="n"/>
    </row>
    <row r="10">
      <c r="A10" s="8" t="n">
        <v>46061</v>
      </c>
      <c r="B10" s="4" t="n"/>
      <c r="C10" s="4" t="n"/>
      <c r="D10" s="4" t="n"/>
      <c r="E10" s="4" t="n"/>
      <c r="F10" s="4" t="n"/>
      <c r="G10" s="4" t="n"/>
      <c r="H10" s="5">
        <f>B10-C10</f>
        <v/>
      </c>
      <c r="I10" s="6">
        <f>IF(B10=0,"",H10/B10)</f>
        <v/>
      </c>
      <c r="J10" s="5">
        <f>D10+E10+F10+G10</f>
        <v/>
      </c>
      <c r="K10" s="5">
        <f>H10-J10</f>
        <v/>
      </c>
      <c r="L10" s="6">
        <f>IF(B10=0,"",K10/B10)</f>
        <v/>
      </c>
      <c r="M10" s="7" t="n"/>
    </row>
    <row r="11">
      <c r="A11" s="3" t="n">
        <v>46062</v>
      </c>
      <c r="B11" s="4" t="n"/>
      <c r="C11" s="4" t="n"/>
      <c r="D11" s="4" t="n"/>
      <c r="E11" s="4" t="n"/>
      <c r="F11" s="4" t="n"/>
      <c r="G11" s="4" t="n"/>
      <c r="H11" s="5">
        <f>B11-C11</f>
        <v/>
      </c>
      <c r="I11" s="6">
        <f>IF(B11=0,"",H11/B11)</f>
        <v/>
      </c>
      <c r="J11" s="5">
        <f>D11+E11+F11+G11</f>
        <v/>
      </c>
      <c r="K11" s="5">
        <f>H11-J11</f>
        <v/>
      </c>
      <c r="L11" s="6">
        <f>IF(B11=0,"",K11/B11)</f>
        <v/>
      </c>
      <c r="M11" s="7" t="n"/>
    </row>
    <row r="12">
      <c r="A12" s="8" t="n">
        <v>46063</v>
      </c>
      <c r="B12" s="4" t="n"/>
      <c r="C12" s="4" t="n"/>
      <c r="D12" s="4" t="n"/>
      <c r="E12" s="4" t="n"/>
      <c r="F12" s="4" t="n"/>
      <c r="G12" s="4" t="n"/>
      <c r="H12" s="5">
        <f>B12-C12</f>
        <v/>
      </c>
      <c r="I12" s="6">
        <f>IF(B12=0,"",H12/B12)</f>
        <v/>
      </c>
      <c r="J12" s="5">
        <f>D12+E12+F12+G12</f>
        <v/>
      </c>
      <c r="K12" s="5">
        <f>H12-J12</f>
        <v/>
      </c>
      <c r="L12" s="6">
        <f>IF(B12=0,"",K12/B12)</f>
        <v/>
      </c>
      <c r="M12" s="7" t="n"/>
    </row>
    <row r="13">
      <c r="A13" s="3" t="n">
        <v>46064</v>
      </c>
      <c r="B13" s="4" t="n"/>
      <c r="C13" s="4" t="n"/>
      <c r="D13" s="4" t="n"/>
      <c r="E13" s="4" t="n"/>
      <c r="F13" s="4" t="n"/>
      <c r="G13" s="4" t="n"/>
      <c r="H13" s="5">
        <f>B13-C13</f>
        <v/>
      </c>
      <c r="I13" s="6">
        <f>IF(B13=0,"",H13/B13)</f>
        <v/>
      </c>
      <c r="J13" s="5">
        <f>D13+E13+F13+G13</f>
        <v/>
      </c>
      <c r="K13" s="5">
        <f>H13-J13</f>
        <v/>
      </c>
      <c r="L13" s="6">
        <f>IF(B13=0,"",K13/B13)</f>
        <v/>
      </c>
      <c r="M13" s="7" t="n"/>
    </row>
    <row r="14">
      <c r="A14" s="8" t="n">
        <v>46065</v>
      </c>
      <c r="B14" s="4" t="n"/>
      <c r="C14" s="4" t="n"/>
      <c r="D14" s="4" t="n"/>
      <c r="E14" s="4" t="n"/>
      <c r="F14" s="4" t="n"/>
      <c r="G14" s="4" t="n"/>
      <c r="H14" s="5">
        <f>B14-C14</f>
        <v/>
      </c>
      <c r="I14" s="6">
        <f>IF(B14=0,"",H14/B14)</f>
        <v/>
      </c>
      <c r="J14" s="5">
        <f>D14+E14+F14+G14</f>
        <v/>
      </c>
      <c r="K14" s="5">
        <f>H14-J14</f>
        <v/>
      </c>
      <c r="L14" s="6">
        <f>IF(B14=0,"",K14/B14)</f>
        <v/>
      </c>
      <c r="M14" s="7" t="n"/>
    </row>
    <row r="15">
      <c r="A15" s="3" t="n">
        <v>46066</v>
      </c>
      <c r="B15" s="4" t="n"/>
      <c r="C15" s="4" t="n"/>
      <c r="D15" s="4" t="n"/>
      <c r="E15" s="4" t="n"/>
      <c r="F15" s="4" t="n"/>
      <c r="G15" s="4" t="n"/>
      <c r="H15" s="5">
        <f>B15-C15</f>
        <v/>
      </c>
      <c r="I15" s="6">
        <f>IF(B15=0,"",H15/B15)</f>
        <v/>
      </c>
      <c r="J15" s="5">
        <f>D15+E15+F15+G15</f>
        <v/>
      </c>
      <c r="K15" s="5">
        <f>H15-J15</f>
        <v/>
      </c>
      <c r="L15" s="6">
        <f>IF(B15=0,"",K15/B15)</f>
        <v/>
      </c>
      <c r="M15" s="7" t="n"/>
    </row>
    <row r="16">
      <c r="A16" s="8" t="n">
        <v>46067</v>
      </c>
      <c r="B16" s="4" t="n"/>
      <c r="C16" s="4" t="n"/>
      <c r="D16" s="4" t="n"/>
      <c r="E16" s="4" t="n"/>
      <c r="F16" s="4" t="n"/>
      <c r="G16" s="4" t="n"/>
      <c r="H16" s="5">
        <f>B16-C16</f>
        <v/>
      </c>
      <c r="I16" s="6">
        <f>IF(B16=0,"",H16/B16)</f>
        <v/>
      </c>
      <c r="J16" s="5">
        <f>D16+E16+F16+G16</f>
        <v/>
      </c>
      <c r="K16" s="5">
        <f>H16-J16</f>
        <v/>
      </c>
      <c r="L16" s="6">
        <f>IF(B16=0,"",K16/B16)</f>
        <v/>
      </c>
      <c r="M16" s="7" t="n"/>
    </row>
    <row r="17">
      <c r="A17" s="3" t="n">
        <v>46068</v>
      </c>
      <c r="B17" s="4" t="n"/>
      <c r="C17" s="4" t="n"/>
      <c r="D17" s="4" t="n"/>
      <c r="E17" s="4" t="n"/>
      <c r="F17" s="4" t="n"/>
      <c r="G17" s="4" t="n"/>
      <c r="H17" s="5">
        <f>B17-C17</f>
        <v/>
      </c>
      <c r="I17" s="6">
        <f>IF(B17=0,"",H17/B17)</f>
        <v/>
      </c>
      <c r="J17" s="5">
        <f>D17+E17+F17+G17</f>
        <v/>
      </c>
      <c r="K17" s="5">
        <f>H17-J17</f>
        <v/>
      </c>
      <c r="L17" s="6">
        <f>IF(B17=0,"",K17/B17)</f>
        <v/>
      </c>
      <c r="M17" s="7" t="n"/>
    </row>
    <row r="18">
      <c r="A18" s="8" t="n">
        <v>46069</v>
      </c>
      <c r="B18" s="4" t="n"/>
      <c r="C18" s="4" t="n"/>
      <c r="D18" s="4" t="n"/>
      <c r="E18" s="4" t="n"/>
      <c r="F18" s="4" t="n"/>
      <c r="G18" s="4" t="n"/>
      <c r="H18" s="5">
        <f>B18-C18</f>
        <v/>
      </c>
      <c r="I18" s="6">
        <f>IF(B18=0,"",H18/B18)</f>
        <v/>
      </c>
      <c r="J18" s="5">
        <f>D18+E18+F18+G18</f>
        <v/>
      </c>
      <c r="K18" s="5">
        <f>H18-J18</f>
        <v/>
      </c>
      <c r="L18" s="6">
        <f>IF(B18=0,"",K18/B18)</f>
        <v/>
      </c>
      <c r="M18" s="7" t="n"/>
    </row>
    <row r="19">
      <c r="A19" s="3" t="n">
        <v>46070</v>
      </c>
      <c r="B19" s="4" t="n"/>
      <c r="C19" s="4" t="n"/>
      <c r="D19" s="4" t="n"/>
      <c r="E19" s="4" t="n"/>
      <c r="F19" s="4" t="n"/>
      <c r="G19" s="4" t="n"/>
      <c r="H19" s="5">
        <f>B19-C19</f>
        <v/>
      </c>
      <c r="I19" s="6">
        <f>IF(B19=0,"",H19/B19)</f>
        <v/>
      </c>
      <c r="J19" s="5">
        <f>D19+E19+F19+G19</f>
        <v/>
      </c>
      <c r="K19" s="5">
        <f>H19-J19</f>
        <v/>
      </c>
      <c r="L19" s="6">
        <f>IF(B19=0,"",K19/B19)</f>
        <v/>
      </c>
      <c r="M19" s="7" t="n"/>
    </row>
    <row r="20">
      <c r="A20" s="8" t="n">
        <v>46071</v>
      </c>
      <c r="B20" s="4" t="n"/>
      <c r="C20" s="4" t="n"/>
      <c r="D20" s="4" t="n"/>
      <c r="E20" s="4" t="n"/>
      <c r="F20" s="4" t="n"/>
      <c r="G20" s="4" t="n"/>
      <c r="H20" s="5">
        <f>B20-C20</f>
        <v/>
      </c>
      <c r="I20" s="6">
        <f>IF(B20=0,"",H20/B20)</f>
        <v/>
      </c>
      <c r="J20" s="5">
        <f>D20+E20+F20+G20</f>
        <v/>
      </c>
      <c r="K20" s="5">
        <f>H20-J20</f>
        <v/>
      </c>
      <c r="L20" s="6">
        <f>IF(B20=0,"",K20/B20)</f>
        <v/>
      </c>
      <c r="M20" s="7" t="n"/>
    </row>
    <row r="21">
      <c r="A21" s="3" t="n">
        <v>46072</v>
      </c>
      <c r="B21" s="4" t="n"/>
      <c r="C21" s="4" t="n"/>
      <c r="D21" s="4" t="n"/>
      <c r="E21" s="4" t="n"/>
      <c r="F21" s="4" t="n"/>
      <c r="G21" s="4" t="n"/>
      <c r="H21" s="5">
        <f>B21-C21</f>
        <v/>
      </c>
      <c r="I21" s="6">
        <f>IF(B21=0,"",H21/B21)</f>
        <v/>
      </c>
      <c r="J21" s="5">
        <f>D21+E21+F21+G21</f>
        <v/>
      </c>
      <c r="K21" s="5">
        <f>H21-J21</f>
        <v/>
      </c>
      <c r="L21" s="6">
        <f>IF(B21=0,"",K21/B21)</f>
        <v/>
      </c>
      <c r="M21" s="7" t="n"/>
    </row>
    <row r="22">
      <c r="A22" s="8" t="n">
        <v>46073</v>
      </c>
      <c r="B22" s="4" t="n"/>
      <c r="C22" s="4" t="n"/>
      <c r="D22" s="4" t="n"/>
      <c r="E22" s="4" t="n"/>
      <c r="F22" s="4" t="n"/>
      <c r="G22" s="4" t="n"/>
      <c r="H22" s="5">
        <f>B22-C22</f>
        <v/>
      </c>
      <c r="I22" s="6">
        <f>IF(B22=0,"",H22/B22)</f>
        <v/>
      </c>
      <c r="J22" s="5">
        <f>D22+E22+F22+G22</f>
        <v/>
      </c>
      <c r="K22" s="5">
        <f>H22-J22</f>
        <v/>
      </c>
      <c r="L22" s="6">
        <f>IF(B22=0,"",K22/B22)</f>
        <v/>
      </c>
      <c r="M22" s="7" t="n"/>
    </row>
    <row r="23">
      <c r="A23" s="3" t="n">
        <v>46074</v>
      </c>
      <c r="B23" s="4" t="n"/>
      <c r="C23" s="4" t="n"/>
      <c r="D23" s="4" t="n"/>
      <c r="E23" s="4" t="n"/>
      <c r="F23" s="4" t="n"/>
      <c r="G23" s="4" t="n"/>
      <c r="H23" s="5">
        <f>B23-C23</f>
        <v/>
      </c>
      <c r="I23" s="6">
        <f>IF(B23=0,"",H23/B23)</f>
        <v/>
      </c>
      <c r="J23" s="5">
        <f>D23+E23+F23+G23</f>
        <v/>
      </c>
      <c r="K23" s="5">
        <f>H23-J23</f>
        <v/>
      </c>
      <c r="L23" s="6">
        <f>IF(B23=0,"",K23/B23)</f>
        <v/>
      </c>
      <c r="M23" s="7" t="n"/>
    </row>
    <row r="24">
      <c r="A24" s="8" t="n">
        <v>46075</v>
      </c>
      <c r="B24" s="4" t="n"/>
      <c r="C24" s="4" t="n"/>
      <c r="D24" s="4" t="n"/>
      <c r="E24" s="4" t="n"/>
      <c r="F24" s="4" t="n"/>
      <c r="G24" s="4" t="n"/>
      <c r="H24" s="5">
        <f>B24-C24</f>
        <v/>
      </c>
      <c r="I24" s="6">
        <f>IF(B24=0,"",H24/B24)</f>
        <v/>
      </c>
      <c r="J24" s="5">
        <f>D24+E24+F24+G24</f>
        <v/>
      </c>
      <c r="K24" s="5">
        <f>H24-J24</f>
        <v/>
      </c>
      <c r="L24" s="6">
        <f>IF(B24=0,"",K24/B24)</f>
        <v/>
      </c>
      <c r="M24" s="7" t="n"/>
    </row>
    <row r="25">
      <c r="A25" s="3" t="n">
        <v>46076</v>
      </c>
      <c r="B25" s="4" t="n"/>
      <c r="C25" s="4" t="n"/>
      <c r="D25" s="4" t="n"/>
      <c r="E25" s="4" t="n"/>
      <c r="F25" s="4" t="n"/>
      <c r="G25" s="4" t="n"/>
      <c r="H25" s="5">
        <f>B25-C25</f>
        <v/>
      </c>
      <c r="I25" s="6">
        <f>IF(B25=0,"",H25/B25)</f>
        <v/>
      </c>
      <c r="J25" s="5">
        <f>D25+E25+F25+G25</f>
        <v/>
      </c>
      <c r="K25" s="5">
        <f>H25-J25</f>
        <v/>
      </c>
      <c r="L25" s="6">
        <f>IF(B25=0,"",K25/B25)</f>
        <v/>
      </c>
      <c r="M25" s="7" t="n"/>
    </row>
    <row r="26">
      <c r="A26" s="8" t="n">
        <v>46077</v>
      </c>
      <c r="B26" s="4" t="n"/>
      <c r="C26" s="4" t="n"/>
      <c r="D26" s="4" t="n"/>
      <c r="E26" s="4" t="n"/>
      <c r="F26" s="4" t="n"/>
      <c r="G26" s="4" t="n"/>
      <c r="H26" s="5">
        <f>B26-C26</f>
        <v/>
      </c>
      <c r="I26" s="6">
        <f>IF(B26=0,"",H26/B26)</f>
        <v/>
      </c>
      <c r="J26" s="5">
        <f>D26+E26+F26+G26</f>
        <v/>
      </c>
      <c r="K26" s="5">
        <f>H26-J26</f>
        <v/>
      </c>
      <c r="L26" s="6">
        <f>IF(B26=0,"",K26/B26)</f>
        <v/>
      </c>
      <c r="M26" s="7" t="n"/>
    </row>
    <row r="27">
      <c r="A27" s="3" t="n">
        <v>46078</v>
      </c>
      <c r="B27" s="4" t="n"/>
      <c r="C27" s="4" t="n"/>
      <c r="D27" s="4" t="n"/>
      <c r="E27" s="4" t="n"/>
      <c r="F27" s="4" t="n"/>
      <c r="G27" s="4" t="n"/>
      <c r="H27" s="5">
        <f>B27-C27</f>
        <v/>
      </c>
      <c r="I27" s="6">
        <f>IF(B27=0,"",H27/B27)</f>
        <v/>
      </c>
      <c r="J27" s="5">
        <f>D27+E27+F27+G27</f>
        <v/>
      </c>
      <c r="K27" s="5">
        <f>H27-J27</f>
        <v/>
      </c>
      <c r="L27" s="6">
        <f>IF(B27=0,"",K27/B27)</f>
        <v/>
      </c>
      <c r="M27" s="7" t="n"/>
    </row>
    <row r="28">
      <c r="A28" s="8" t="n">
        <v>46079</v>
      </c>
      <c r="B28" s="4" t="n"/>
      <c r="C28" s="4" t="n"/>
      <c r="D28" s="4" t="n"/>
      <c r="E28" s="4" t="n"/>
      <c r="F28" s="4" t="n"/>
      <c r="G28" s="4" t="n"/>
      <c r="H28" s="5">
        <f>B28-C28</f>
        <v/>
      </c>
      <c r="I28" s="6">
        <f>IF(B28=0,"",H28/B28)</f>
        <v/>
      </c>
      <c r="J28" s="5">
        <f>D28+E28+F28+G28</f>
        <v/>
      </c>
      <c r="K28" s="5">
        <f>H28-J28</f>
        <v/>
      </c>
      <c r="L28" s="6">
        <f>IF(B28=0,"",K28/B28)</f>
        <v/>
      </c>
      <c r="M28" s="7" t="n"/>
    </row>
    <row r="29">
      <c r="A29" s="3" t="n">
        <v>46080</v>
      </c>
      <c r="B29" s="4" t="n"/>
      <c r="C29" s="4" t="n"/>
      <c r="D29" s="4" t="n"/>
      <c r="E29" s="4" t="n"/>
      <c r="F29" s="4" t="n"/>
      <c r="G29" s="4" t="n"/>
      <c r="H29" s="5">
        <f>B29-C29</f>
        <v/>
      </c>
      <c r="I29" s="6">
        <f>IF(B29=0,"",H29/B29)</f>
        <v/>
      </c>
      <c r="J29" s="5">
        <f>D29+E29+F29+G29</f>
        <v/>
      </c>
      <c r="K29" s="5">
        <f>H29-J29</f>
        <v/>
      </c>
      <c r="L29" s="6">
        <f>IF(B29=0,"",K29/B29)</f>
        <v/>
      </c>
      <c r="M29" s="7" t="n"/>
    </row>
    <row r="30">
      <c r="A30" s="8" t="n">
        <v>46081</v>
      </c>
      <c r="B30" s="4" t="n"/>
      <c r="C30" s="4" t="n"/>
      <c r="D30" s="4" t="n"/>
      <c r="E30" s="4" t="n"/>
      <c r="F30" s="4" t="n"/>
      <c r="G30" s="4" t="n"/>
      <c r="H30" s="5">
        <f>B30-C30</f>
        <v/>
      </c>
      <c r="I30" s="6">
        <f>IF(B30=0,"",H30/B30)</f>
        <v/>
      </c>
      <c r="J30" s="5">
        <f>D30+E30+F30+G30</f>
        <v/>
      </c>
      <c r="K30" s="5">
        <f>H30-J30</f>
        <v/>
      </c>
      <c r="L30" s="6">
        <f>IF(B30=0,"",K30/B30)</f>
        <v/>
      </c>
      <c r="M30" s="7" t="n"/>
    </row>
    <row r="31">
      <c r="A31" s="3" t="n">
        <v>46082</v>
      </c>
      <c r="B31" s="4" t="n"/>
      <c r="C31" s="4" t="n"/>
      <c r="D31" s="4" t="n"/>
      <c r="E31" s="4" t="n"/>
      <c r="F31" s="4" t="n"/>
      <c r="G31" s="4" t="n"/>
      <c r="H31" s="5">
        <f>B31-C31</f>
        <v/>
      </c>
      <c r="I31" s="6">
        <f>IF(B31=0,"",H31/B31)</f>
        <v/>
      </c>
      <c r="J31" s="5">
        <f>D31+E31+F31+G31</f>
        <v/>
      </c>
      <c r="K31" s="5">
        <f>H31-J31</f>
        <v/>
      </c>
      <c r="L31" s="6">
        <f>IF(B31=0,"",K31/B31)</f>
        <v/>
      </c>
      <c r="M31" s="7" t="n"/>
    </row>
    <row r="32">
      <c r="A32" s="8" t="n">
        <v>46083</v>
      </c>
      <c r="B32" s="4" t="n"/>
      <c r="C32" s="4" t="n"/>
      <c r="D32" s="4" t="n"/>
      <c r="E32" s="4" t="n"/>
      <c r="F32" s="4" t="n"/>
      <c r="G32" s="4" t="n"/>
      <c r="H32" s="5">
        <f>B32-C32</f>
        <v/>
      </c>
      <c r="I32" s="6">
        <f>IF(B32=0,"",H32/B32)</f>
        <v/>
      </c>
      <c r="J32" s="5">
        <f>D32+E32+F32+G32</f>
        <v/>
      </c>
      <c r="K32" s="5">
        <f>H32-J32</f>
        <v/>
      </c>
      <c r="L32" s="6">
        <f>IF(B32=0,"",K32/B32)</f>
        <v/>
      </c>
      <c r="M32" s="7" t="n"/>
    </row>
    <row r="33">
      <c r="A33" s="9" t="inlineStr">
        <is>
          <t>合計 Total</t>
        </is>
      </c>
      <c r="B33" s="10">
        <f>SUM(B3:B32)</f>
        <v/>
      </c>
      <c r="C33" s="10">
        <f>SUM(C3:C32)</f>
        <v/>
      </c>
      <c r="D33" s="10">
        <f>SUM(D3:D32)</f>
        <v/>
      </c>
      <c r="E33" s="10">
        <f>SUM(E3:E32)</f>
        <v/>
      </c>
      <c r="F33" s="10">
        <f>SUM(F3:F32)</f>
        <v/>
      </c>
      <c r="G33" s="10">
        <f>SUM(G3:G32)</f>
        <v/>
      </c>
      <c r="H33" s="11">
        <f>SUM(H3:H32)</f>
        <v/>
      </c>
      <c r="I33" s="12">
        <f>IF(B33=0,"",H33/B33)</f>
        <v/>
      </c>
      <c r="J33" s="11">
        <f>SUM(J3:J32)</f>
        <v/>
      </c>
      <c r="K33" s="11">
        <f>SUM(K3:K32)</f>
        <v/>
      </c>
      <c r="L33" s="12">
        <f>IF(B33=0,"",K33/B33)</f>
        <v/>
      </c>
      <c r="M33" s="13" t="n"/>
    </row>
  </sheetData>
  <sheetProtection selectLockedCells="0" selectUnlockedCells="0" sheet="1" objects="0" insertRows="0" insertHyperlinks="1" autoFilter="0" scenarios="0" formatColumns="0" deleteColumns="1" insertColumns="0" pivotTables="1" deleteRows="1" formatCells="0" formatRows="0" sort="0"/>
  <mergeCells count="1">
    <mergeCell ref="A1:M1"/>
  </mergeCells>
  <dataValidations count="1">
    <dataValidation sqref="B3 B4 B5 B6 B7 B8 B9 B10 B11 B12 B13 B14 B15 B16 B17 B18 B19 B20 B21 B22 B23 B24 B25 B26 B27 B28 B29 B30 B31 B32 C3 C4 C5 C6 C7 C8 C9 C10 C11 C12 C13 C14 C15 C16 C17 C18 C19 C20 C21 C22 C23 C24 C25 C26 C27 C28 C29 C30 C31 C32 D3 D4 D5 D6 D7 D8 D9 D10 D11 D12 D13 D14 D15 D16 D17 D18 D19 D20 D21 D22 D23 D24 D25 D26 D27 D28 D29 D30 D31 D32 E3 E4 E5 E6 E7 E8 E9 E10 E11 E12 E13 E14 E15 E16 E17 E18 E19 E20 E21 E22 E23 E24 E25 E26 E27 E28 E29 E30 E31 E32 F3 F4 F5 F6 F7 F8 F9 F10 F11 F12 F13 F14 F15 F16 F17 F18 F19 F20 F21 F22 F23 F24 F25 F26 F27 F28 F29 F30 F31 F32 G3 G4 G5 G6 G7 G8 G9 G10 G11 G12 G13 G14 G15 G16 G17 G18 G19 G20 G21 G22 G23 G24 G25 G26 G27 G28 G29 G30 G31 G32" showDropDown="0" showInputMessage="0" showErrorMessage="0" allowBlank="1" errorTitle="輸入錯誤" error="請輸入數字"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workbookViewId="0">
      <pane ySplit="2" topLeftCell="A3"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2" customWidth="1" min="5" max="5"/>
    <col width="14" customWidth="1" min="6" max="6"/>
    <col width="14" customWidth="1" min="7" max="7"/>
    <col width="12" customWidth="1" min="8" max="8"/>
  </cols>
  <sheetData>
    <row r="1" ht="30" customHeight="1">
      <c r="A1" s="14" t="inlineStr">
        <is>
          <t>月度財務摘要 Monthly Financial Summary</t>
        </is>
      </c>
    </row>
    <row r="2" ht="40" customHeight="1">
      <c r="A2" s="2" t="inlineStr">
        <is>
          <t>月份
Month</t>
        </is>
      </c>
      <c r="B2" s="2" t="inlineStr">
        <is>
          <t>總營收
Revenue</t>
        </is>
      </c>
      <c r="C2" s="2" t="inlineStr">
        <is>
          <t>總成本
COGS</t>
        </is>
      </c>
      <c r="D2" s="2" t="inlineStr">
        <is>
          <t>毛利
Gross Profit</t>
        </is>
      </c>
      <c r="E2" s="2" t="inlineStr">
        <is>
          <t>毛利率
Gross Margin</t>
        </is>
      </c>
      <c r="F2" s="2" t="inlineStr">
        <is>
          <t>總費用
Total OpEx</t>
        </is>
      </c>
      <c r="G2" s="2" t="inlineStr">
        <is>
          <t>營業利益
Op. Income</t>
        </is>
      </c>
      <c r="H2" s="2" t="inlineStr">
        <is>
          <t>營業利益率
OI Margin</t>
        </is>
      </c>
    </row>
    <row r="3">
      <c r="A3" s="15" t="inlineStr">
        <is>
          <t>1月</t>
        </is>
      </c>
      <c r="B3" s="5">
        <f>SUMPRODUCT((MONTH('每日記錄 Daily Input'!A3:A32)=1)*'每日記錄 Daily Input'!B3:B32)</f>
        <v/>
      </c>
      <c r="C3" s="5">
        <f>SUMPRODUCT((MONTH('每日記錄 Daily Input'!A3:A32)=1)*'每日記錄 Daily Input'!C3:C32)</f>
        <v/>
      </c>
      <c r="D3" s="5">
        <f>B3-C3</f>
        <v/>
      </c>
      <c r="E3" s="6">
        <f>IF(B3=0,"",D3/B3)</f>
        <v/>
      </c>
      <c r="F3" s="5">
        <f>SUMPRODUCT((MONTH('每日記錄 Daily Input'!A3:A32)=1)*'每日記錄 Daily Input'!J3:J32)</f>
        <v/>
      </c>
      <c r="G3" s="5">
        <f>D3-F3</f>
        <v/>
      </c>
      <c r="H3" s="6">
        <f>IF(B3=0,"",G3/B3)</f>
        <v/>
      </c>
    </row>
    <row r="4">
      <c r="A4" s="16" t="inlineStr">
        <is>
          <t>2月</t>
        </is>
      </c>
      <c r="B4" s="5">
        <f>SUMPRODUCT((MONTH('每日記錄 Daily Input'!A3:A32)=2)*'每日記錄 Daily Input'!B3:B32)</f>
        <v/>
      </c>
      <c r="C4" s="5">
        <f>SUMPRODUCT((MONTH('每日記錄 Daily Input'!A3:A32)=2)*'每日記錄 Daily Input'!C3:C32)</f>
        <v/>
      </c>
      <c r="D4" s="5">
        <f>B4-C4</f>
        <v/>
      </c>
      <c r="E4" s="6">
        <f>IF(B4=0,"",D4/B4)</f>
        <v/>
      </c>
      <c r="F4" s="5">
        <f>SUMPRODUCT((MONTH('每日記錄 Daily Input'!A3:A32)=2)*'每日記錄 Daily Input'!J3:J32)</f>
        <v/>
      </c>
      <c r="G4" s="5">
        <f>D4-F4</f>
        <v/>
      </c>
      <c r="H4" s="6">
        <f>IF(B4=0,"",G4/B4)</f>
        <v/>
      </c>
    </row>
    <row r="5">
      <c r="A5" s="15" t="inlineStr">
        <is>
          <t>3月</t>
        </is>
      </c>
      <c r="B5" s="5">
        <f>SUMPRODUCT((MONTH('每日記錄 Daily Input'!A3:A32)=3)*'每日記錄 Daily Input'!B3:B32)</f>
        <v/>
      </c>
      <c r="C5" s="5">
        <f>SUMPRODUCT((MONTH('每日記錄 Daily Input'!A3:A32)=3)*'每日記錄 Daily Input'!C3:C32)</f>
        <v/>
      </c>
      <c r="D5" s="5">
        <f>B5-C5</f>
        <v/>
      </c>
      <c r="E5" s="6">
        <f>IF(B5=0,"",D5/B5)</f>
        <v/>
      </c>
      <c r="F5" s="5">
        <f>SUMPRODUCT((MONTH('每日記錄 Daily Input'!A3:A32)=3)*'每日記錄 Daily Input'!J3:J32)</f>
        <v/>
      </c>
      <c r="G5" s="5">
        <f>D5-F5</f>
        <v/>
      </c>
      <c r="H5" s="6">
        <f>IF(B5=0,"",G5/B5)</f>
        <v/>
      </c>
    </row>
    <row r="6">
      <c r="A6" s="16" t="inlineStr">
        <is>
          <t>4月</t>
        </is>
      </c>
      <c r="B6" s="5">
        <f>SUMPRODUCT((MONTH('每日記錄 Daily Input'!A3:A32)=4)*'每日記錄 Daily Input'!B3:B32)</f>
        <v/>
      </c>
      <c r="C6" s="5">
        <f>SUMPRODUCT((MONTH('每日記錄 Daily Input'!A3:A32)=4)*'每日記錄 Daily Input'!C3:C32)</f>
        <v/>
      </c>
      <c r="D6" s="5">
        <f>B6-C6</f>
        <v/>
      </c>
      <c r="E6" s="6">
        <f>IF(B6=0,"",D6/B6)</f>
        <v/>
      </c>
      <c r="F6" s="5">
        <f>SUMPRODUCT((MONTH('每日記錄 Daily Input'!A3:A32)=4)*'每日記錄 Daily Input'!J3:J32)</f>
        <v/>
      </c>
      <c r="G6" s="5">
        <f>D6-F6</f>
        <v/>
      </c>
      <c r="H6" s="6">
        <f>IF(B6=0,"",G6/B6)</f>
        <v/>
      </c>
    </row>
    <row r="7">
      <c r="A7" s="15" t="inlineStr">
        <is>
          <t>5月</t>
        </is>
      </c>
      <c r="B7" s="5">
        <f>SUMPRODUCT((MONTH('每日記錄 Daily Input'!A3:A32)=5)*'每日記錄 Daily Input'!B3:B32)</f>
        <v/>
      </c>
      <c r="C7" s="5">
        <f>SUMPRODUCT((MONTH('每日記錄 Daily Input'!A3:A32)=5)*'每日記錄 Daily Input'!C3:C32)</f>
        <v/>
      </c>
      <c r="D7" s="5">
        <f>B7-C7</f>
        <v/>
      </c>
      <c r="E7" s="6">
        <f>IF(B7=0,"",D7/B7)</f>
        <v/>
      </c>
      <c r="F7" s="5">
        <f>SUMPRODUCT((MONTH('每日記錄 Daily Input'!A3:A32)=5)*'每日記錄 Daily Input'!J3:J32)</f>
        <v/>
      </c>
      <c r="G7" s="5">
        <f>D7-F7</f>
        <v/>
      </c>
      <c r="H7" s="6">
        <f>IF(B7=0,"",G7/B7)</f>
        <v/>
      </c>
    </row>
    <row r="8">
      <c r="A8" s="16" t="inlineStr">
        <is>
          <t>6月</t>
        </is>
      </c>
      <c r="B8" s="5">
        <f>SUMPRODUCT((MONTH('每日記錄 Daily Input'!A3:A32)=6)*'每日記錄 Daily Input'!B3:B32)</f>
        <v/>
      </c>
      <c r="C8" s="5">
        <f>SUMPRODUCT((MONTH('每日記錄 Daily Input'!A3:A32)=6)*'每日記錄 Daily Input'!C3:C32)</f>
        <v/>
      </c>
      <c r="D8" s="5">
        <f>B8-C8</f>
        <v/>
      </c>
      <c r="E8" s="6">
        <f>IF(B8=0,"",D8/B8)</f>
        <v/>
      </c>
      <c r="F8" s="5">
        <f>SUMPRODUCT((MONTH('每日記錄 Daily Input'!A3:A32)=6)*'每日記錄 Daily Input'!J3:J32)</f>
        <v/>
      </c>
      <c r="G8" s="5">
        <f>D8-F8</f>
        <v/>
      </c>
      <c r="H8" s="6">
        <f>IF(B8=0,"",G8/B8)</f>
        <v/>
      </c>
    </row>
    <row r="9">
      <c r="A9" s="15" t="inlineStr">
        <is>
          <t>7月</t>
        </is>
      </c>
      <c r="B9" s="5">
        <f>SUMPRODUCT((MONTH('每日記錄 Daily Input'!A3:A32)=7)*'每日記錄 Daily Input'!B3:B32)</f>
        <v/>
      </c>
      <c r="C9" s="5">
        <f>SUMPRODUCT((MONTH('每日記錄 Daily Input'!A3:A32)=7)*'每日記錄 Daily Input'!C3:C32)</f>
        <v/>
      </c>
      <c r="D9" s="5">
        <f>B9-C9</f>
        <v/>
      </c>
      <c r="E9" s="6">
        <f>IF(B9=0,"",D9/B9)</f>
        <v/>
      </c>
      <c r="F9" s="5">
        <f>SUMPRODUCT((MONTH('每日記錄 Daily Input'!A3:A32)=7)*'每日記錄 Daily Input'!J3:J32)</f>
        <v/>
      </c>
      <c r="G9" s="5">
        <f>D9-F9</f>
        <v/>
      </c>
      <c r="H9" s="6">
        <f>IF(B9=0,"",G9/B9)</f>
        <v/>
      </c>
    </row>
    <row r="10">
      <c r="A10" s="16" t="inlineStr">
        <is>
          <t>8月</t>
        </is>
      </c>
      <c r="B10" s="5">
        <f>SUMPRODUCT((MONTH('每日記錄 Daily Input'!A3:A32)=8)*'每日記錄 Daily Input'!B3:B32)</f>
        <v/>
      </c>
      <c r="C10" s="5">
        <f>SUMPRODUCT((MONTH('每日記錄 Daily Input'!A3:A32)=8)*'每日記錄 Daily Input'!C3:C32)</f>
        <v/>
      </c>
      <c r="D10" s="5">
        <f>B10-C10</f>
        <v/>
      </c>
      <c r="E10" s="6">
        <f>IF(B10=0,"",D10/B10)</f>
        <v/>
      </c>
      <c r="F10" s="5">
        <f>SUMPRODUCT((MONTH('每日記錄 Daily Input'!A3:A32)=8)*'每日記錄 Daily Input'!J3:J32)</f>
        <v/>
      </c>
      <c r="G10" s="5">
        <f>D10-F10</f>
        <v/>
      </c>
      <c r="H10" s="6">
        <f>IF(B10=0,"",G10/B10)</f>
        <v/>
      </c>
    </row>
    <row r="11">
      <c r="A11" s="15" t="inlineStr">
        <is>
          <t>9月</t>
        </is>
      </c>
      <c r="B11" s="5">
        <f>SUMPRODUCT((MONTH('每日記錄 Daily Input'!A3:A32)=9)*'每日記錄 Daily Input'!B3:B32)</f>
        <v/>
      </c>
      <c r="C11" s="5">
        <f>SUMPRODUCT((MONTH('每日記錄 Daily Input'!A3:A32)=9)*'每日記錄 Daily Input'!C3:C32)</f>
        <v/>
      </c>
      <c r="D11" s="5">
        <f>B11-C11</f>
        <v/>
      </c>
      <c r="E11" s="6">
        <f>IF(B11=0,"",D11/B11)</f>
        <v/>
      </c>
      <c r="F11" s="5">
        <f>SUMPRODUCT((MONTH('每日記錄 Daily Input'!A3:A32)=9)*'每日記錄 Daily Input'!J3:J32)</f>
        <v/>
      </c>
      <c r="G11" s="5">
        <f>D11-F11</f>
        <v/>
      </c>
      <c r="H11" s="6">
        <f>IF(B11=0,"",G11/B11)</f>
        <v/>
      </c>
    </row>
    <row r="12">
      <c r="A12" s="16" t="inlineStr">
        <is>
          <t>10月</t>
        </is>
      </c>
      <c r="B12" s="5">
        <f>SUMPRODUCT((MONTH('每日記錄 Daily Input'!A3:A32)=10)*'每日記錄 Daily Input'!B3:B32)</f>
        <v/>
      </c>
      <c r="C12" s="5">
        <f>SUMPRODUCT((MONTH('每日記錄 Daily Input'!A3:A32)=10)*'每日記錄 Daily Input'!C3:C32)</f>
        <v/>
      </c>
      <c r="D12" s="5">
        <f>B12-C12</f>
        <v/>
      </c>
      <c r="E12" s="6">
        <f>IF(B12=0,"",D12/B12)</f>
        <v/>
      </c>
      <c r="F12" s="5">
        <f>SUMPRODUCT((MONTH('每日記錄 Daily Input'!A3:A32)=10)*'每日記錄 Daily Input'!J3:J32)</f>
        <v/>
      </c>
      <c r="G12" s="5">
        <f>D12-F12</f>
        <v/>
      </c>
      <c r="H12" s="6">
        <f>IF(B12=0,"",G12/B12)</f>
        <v/>
      </c>
    </row>
    <row r="13">
      <c r="A13" s="15" t="inlineStr">
        <is>
          <t>11月</t>
        </is>
      </c>
      <c r="B13" s="5">
        <f>SUMPRODUCT((MONTH('每日記錄 Daily Input'!A3:A32)=11)*'每日記錄 Daily Input'!B3:B32)</f>
        <v/>
      </c>
      <c r="C13" s="5">
        <f>SUMPRODUCT((MONTH('每日記錄 Daily Input'!A3:A32)=11)*'每日記錄 Daily Input'!C3:C32)</f>
        <v/>
      </c>
      <c r="D13" s="5">
        <f>B13-C13</f>
        <v/>
      </c>
      <c r="E13" s="6">
        <f>IF(B13=0,"",D13/B13)</f>
        <v/>
      </c>
      <c r="F13" s="5">
        <f>SUMPRODUCT((MONTH('每日記錄 Daily Input'!A3:A32)=11)*'每日記錄 Daily Input'!J3:J32)</f>
        <v/>
      </c>
      <c r="G13" s="5">
        <f>D13-F13</f>
        <v/>
      </c>
      <c r="H13" s="6">
        <f>IF(B13=0,"",G13/B13)</f>
        <v/>
      </c>
    </row>
    <row r="14">
      <c r="A14" s="16" t="inlineStr">
        <is>
          <t>12月</t>
        </is>
      </c>
      <c r="B14" s="5">
        <f>SUMPRODUCT((MONTH('每日記錄 Daily Input'!A3:A32)=12)*'每日記錄 Daily Input'!B3:B32)</f>
        <v/>
      </c>
      <c r="C14" s="5">
        <f>SUMPRODUCT((MONTH('每日記錄 Daily Input'!A3:A32)=12)*'每日記錄 Daily Input'!C3:C32)</f>
        <v/>
      </c>
      <c r="D14" s="5">
        <f>B14-C14</f>
        <v/>
      </c>
      <c r="E14" s="6">
        <f>IF(B14=0,"",D14/B14)</f>
        <v/>
      </c>
      <c r="F14" s="5">
        <f>SUMPRODUCT((MONTH('每日記錄 Daily Input'!A3:A32)=12)*'每日記錄 Daily Input'!J3:J32)</f>
        <v/>
      </c>
      <c r="G14" s="5">
        <f>D14-F14</f>
        <v/>
      </c>
      <c r="H14" s="6">
        <f>IF(B14=0,"",G14/B14)</f>
        <v/>
      </c>
    </row>
    <row r="15">
      <c r="A15" s="17" t="inlineStr">
        <is>
          <t>年度合計
Annual</t>
        </is>
      </c>
      <c r="B15" s="11">
        <f>SUM(B3:B14)</f>
        <v/>
      </c>
      <c r="C15" s="11">
        <f>SUM(C3:C14)</f>
        <v/>
      </c>
      <c r="D15" s="11">
        <f>SUM(D3:D14)</f>
        <v/>
      </c>
      <c r="E15" s="12">
        <f>IF(B15=0,"",D15/B15)</f>
        <v/>
      </c>
      <c r="F15" s="11">
        <f>SUM(F3:F14)</f>
        <v/>
      </c>
      <c r="G15" s="11">
        <f>SUM(G3:G14)</f>
        <v/>
      </c>
      <c r="H15" s="12">
        <f>IF(B15=0,"",G15/B15)</f>
        <v/>
      </c>
    </row>
  </sheetData>
  <sheetProtection selectLockedCells="0" selectUnlockedCells="0" sheet="1" objects="0" insertRows="1" insertHyperlinks="1" autoFilter="1" scenarios="0" formatColumns="0" deleteColumns="1" insertColumns="1" pivotTables="1" deleteRows="1" formatCells="0" formatRows="0" sort="1"/>
  <mergeCells count="1">
    <mergeCell ref="A1:I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28"/>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40" customHeight="1">
      <c r="A1" s="18" t="inlineStr">
        <is>
          <t>財務儀表板 Financial Dashboard</t>
        </is>
      </c>
    </row>
    <row r="3" ht="35" customHeight="1">
      <c r="B3" s="19" t="inlineStr">
        <is>
          <t>本月營收
Revenue</t>
        </is>
      </c>
      <c r="C3" s="20" t="n"/>
      <c r="E3" s="19" t="inlineStr">
        <is>
          <t>毛利率
Gross Margin</t>
        </is>
      </c>
      <c r="F3" s="20" t="n"/>
      <c r="H3" s="19" t="inlineStr">
        <is>
          <t>營業利益
Op. Income</t>
        </is>
      </c>
      <c r="I3" s="20" t="n"/>
    </row>
    <row r="4" ht="50" customHeight="1">
      <c r="B4" s="21">
        <f>'月報表 Monthly Summary'!B4</f>
        <v/>
      </c>
      <c r="C4" s="22" t="n"/>
      <c r="E4" s="23">
        <f>'月報表 Monthly Summary'!E4</f>
        <v/>
      </c>
      <c r="F4" s="22" t="n"/>
      <c r="H4" s="21">
        <f>'月報表 Monthly Summary'!G4</f>
        <v/>
      </c>
      <c r="I4" s="22" t="n"/>
    </row>
    <row r="25">
      <c r="A25" t="inlineStr">
        <is>
          <t>人事費用 Payroll</t>
        </is>
      </c>
      <c r="B25">
        <f>SUMPRODUCT((MONTH('每日記錄 Daily Input'!A3:A32)=MONTH(TODAY()))*'每日記錄 Daily Input'!D3:D32)</f>
        <v/>
      </c>
    </row>
    <row r="26">
      <c r="A26" t="inlineStr">
        <is>
          <t>租金 Rent</t>
        </is>
      </c>
      <c r="B26">
        <f>SUMPRODUCT((MONTH('每日記錄 Daily Input'!A3:A32)=MONTH(TODAY()))*'每日記錄 Daily Input'!E3:E32)</f>
        <v/>
      </c>
    </row>
    <row r="27">
      <c r="A27" t="inlineStr">
        <is>
          <t>行銷費用 Marketing</t>
        </is>
      </c>
      <c r="B27">
        <f>SUMPRODUCT((MONTH('每日記錄 Daily Input'!A3:A32)=MONTH(TODAY()))*'每日記錄 Daily Input'!F3:F32)</f>
        <v/>
      </c>
    </row>
    <row r="28">
      <c r="A28" t="inlineStr">
        <is>
          <t>其他費用 Other</t>
        </is>
      </c>
      <c r="B28">
        <f>SUMPRODUCT((MONTH('每日記錄 Daily Input'!A3:A32)=MONTH(TODAY()))*'每日記錄 Daily Input'!G3:G32)</f>
        <v/>
      </c>
    </row>
  </sheetData>
  <mergeCells count="7">
    <mergeCell ref="E4:F4"/>
    <mergeCell ref="B3:C3"/>
    <mergeCell ref="H4:I4"/>
    <mergeCell ref="A1:H1"/>
    <mergeCell ref="B4:C4"/>
    <mergeCell ref="E3:F3"/>
    <mergeCell ref="H3:I3"/>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2026-02-28T09:33:18Z</dcterms:created>
  <dcterms:modified xsi:type="dcterms:W3CDTF">2026-02-28T09:33:18Z</dcterms:modified>
</cp:coreProperties>
</file>