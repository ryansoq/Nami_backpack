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每日記錄 Daily Input" sheetId="1" state="visible" r:id="rId1"/>
    <sheet name="月報表 Monthly Summary" sheetId="2" state="visible" r:id="rId2"/>
    <sheet name="儀表板 Dashboard" sheetId="3" state="visible" r:id="rId3"/>
  </sheets>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8">
    <font>
      <name val="Calibri"/>
      <family val="2"/>
      <color theme="1"/>
      <sz val="11"/>
      <scheme val="minor"/>
    </font>
    <font>
      <name val="Microsoft JhengHei"/>
      <b val="1"/>
      <color rgb="001F3864"/>
      <sz val="14"/>
    </font>
    <font>
      <name val="Microsoft JhengHei"/>
      <b val="1"/>
      <color rgb="00FFFFFF"/>
      <sz val="11"/>
    </font>
    <font>
      <name val="Microsoft JhengHei"/>
      <b val="1"/>
    </font>
    <font>
      <name val="Microsoft JhengHei"/>
      <b val="1"/>
      <color rgb="00FFFFFF"/>
    </font>
    <font>
      <name val="Microsoft JhengHei"/>
      <b val="1"/>
      <color rgb="001F3864"/>
      <sz val="18"/>
    </font>
    <font>
      <name val="Microsoft JhengHei"/>
      <color rgb="00666666"/>
      <sz val="12"/>
    </font>
    <font>
      <name val="Microsoft JhengHei"/>
      <b val="1"/>
      <color rgb="001F3864"/>
      <sz val="24"/>
    </font>
  </fonts>
  <fills count="7">
    <fill>
      <patternFill/>
    </fill>
    <fill>
      <patternFill patternType="gray125"/>
    </fill>
    <fill>
      <patternFill patternType="solid">
        <fgColor rgb="001F3864"/>
      </patternFill>
    </fill>
    <fill>
      <patternFill patternType="solid">
        <fgColor rgb="00E2EFDA"/>
      </patternFill>
    </fill>
    <fill>
      <patternFill patternType="solid">
        <fgColor rgb="00D9D9D9"/>
      </patternFill>
    </fill>
    <fill>
      <patternFill patternType="solid">
        <fgColor rgb="00F2F2F2"/>
      </patternFill>
    </fill>
    <fill>
      <patternFill patternType="solid">
        <fgColor rgb="002E75B6"/>
      </patternFill>
    </fill>
  </fills>
  <borders count="14">
    <border>
      <left/>
      <right/>
      <top/>
      <bottom/>
      <diagonal/>
    </border>
    <border>
      <left style="thin">
        <color rgb="00BFBFBF"/>
      </left>
      <right style="thin">
        <color rgb="00BFBFBF"/>
      </right>
      <top style="thin">
        <color rgb="00BFBFBF"/>
      </top>
      <bottom style="thin">
        <color rgb="00BFBFBF"/>
      </bottom>
    </border>
    <border>
      <left style="medium">
        <color rgb="002E75B6"/>
      </left>
      <right style="thin"/>
      <top style="medium">
        <color rgb="002E75B6"/>
      </top>
      <bottom style="thin"/>
    </border>
    <border>
      <left style="thin"/>
      <right style="medium">
        <color rgb="002E75B6"/>
      </right>
      <top style="medium">
        <color rgb="002E75B6"/>
      </top>
      <bottom style="thin"/>
    </border>
    <border>
      <left style="medium">
        <color rgb="002E75B6"/>
      </left>
      <right style="thin"/>
      <top style="thin"/>
      <bottom style="medium">
        <color rgb="002E75B6"/>
      </bottom>
    </border>
    <border>
      <left style="thin"/>
      <right style="medium">
        <color rgb="002E75B6"/>
      </right>
      <top style="thin"/>
      <bottom style="medium">
        <color rgb="002E75B6"/>
      </bottom>
    </border>
    <border>
      <left style="medium">
        <color rgb="002E75B6"/>
      </left>
      <right style="thin">
        <color rgb="002E75B6"/>
      </right>
      <top style="thin"/>
      <bottom style="medium">
        <color rgb="002E75B6"/>
      </bottom>
    </border>
    <border>
      <left/>
      <right/>
      <top style="thin"/>
      <bottom/>
      <diagonal/>
    </border>
    <border>
      <left/>
      <right style="thin">
        <color rgb="002E75B6"/>
      </right>
      <top style="thin"/>
      <bottom/>
      <diagonal/>
    </border>
    <border>
      <left/>
      <right style="thin">
        <color rgb="002E75B6"/>
      </right>
      <top style="thin"/>
      <bottom style="medium">
        <color rgb="002E75B6"/>
      </bottom>
      <diagonal/>
    </border>
    <border>
      <left style="medium">
        <color rgb="002E75B6"/>
      </left>
      <right style="thin">
        <color rgb="002E75B6"/>
      </right>
      <top style="medium">
        <color rgb="002E75B6"/>
      </top>
      <bottom style="thin"/>
    </border>
    <border>
      <left/>
      <right/>
      <top style="medium">
        <color rgb="002E75B6"/>
      </top>
      <bottom/>
      <diagonal/>
    </border>
    <border>
      <left/>
      <right style="thin">
        <color rgb="002E75B6"/>
      </right>
      <top style="medium">
        <color rgb="002E75B6"/>
      </top>
      <bottom/>
      <diagonal/>
    </border>
    <border>
      <left/>
      <right style="thin">
        <color rgb="002E75B6"/>
      </right>
      <top style="medium">
        <color rgb="002E75B6"/>
      </top>
      <bottom style="thin"/>
      <diagonal/>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164" fontId="0" fillId="0" borderId="1" applyAlignment="1" applyProtection="1" pivotButton="0" quotePrefix="0" xfId="0">
      <alignment horizontal="center" vertical="center"/>
      <protection locked="0" hidden="0"/>
    </xf>
    <xf numFmtId="3" fontId="0" fillId="3" borderId="1" applyAlignment="1" applyProtection="1" pivotButton="0" quotePrefix="0" xfId="0">
      <alignment horizontal="center" vertical="center"/>
      <protection locked="0" hidden="0"/>
    </xf>
    <xf numFmtId="3" fontId="0" fillId="4" borderId="1" applyAlignment="1" pivotButton="0" quotePrefix="0" xfId="0">
      <alignment horizontal="center" vertical="center"/>
    </xf>
    <xf numFmtId="165" fontId="0" fillId="4" borderId="1" applyAlignment="1" pivotButton="0" quotePrefix="0" xfId="0">
      <alignment horizontal="center" vertical="center"/>
    </xf>
    <xf numFmtId="0" fontId="0" fillId="3" borderId="1" applyAlignment="1" applyProtection="1" pivotButton="0" quotePrefix="0" xfId="0">
      <alignment horizontal="center" vertical="center"/>
      <protection locked="0" hidden="0"/>
    </xf>
    <xf numFmtId="164" fontId="0" fillId="5" borderId="1" applyAlignment="1" applyProtection="1" pivotButton="0" quotePrefix="0" xfId="0">
      <alignment horizontal="center" vertical="center"/>
      <protection locked="0" hidden="0"/>
    </xf>
    <xf numFmtId="0" fontId="4" fillId="6" borderId="1" applyAlignment="1" applyProtection="1" pivotButton="0" quotePrefix="0" xfId="0">
      <alignment horizontal="center" vertical="center"/>
      <protection locked="0" hidden="0"/>
    </xf>
    <xf numFmtId="3" fontId="4" fillId="6" borderId="1" applyAlignment="1" applyProtection="1" pivotButton="0" quotePrefix="0" xfId="0">
      <alignment horizontal="center" vertical="center"/>
      <protection locked="0" hidden="0"/>
    </xf>
    <xf numFmtId="3" fontId="4" fillId="6" borderId="1" applyAlignment="1" pivotButton="0" quotePrefix="0" xfId="0">
      <alignment horizontal="center" vertical="center"/>
    </xf>
    <xf numFmtId="165" fontId="4" fillId="6" borderId="1" applyAlignment="1" pivotButton="0" quotePrefix="0" xfId="0">
      <alignment horizontal="center" vertical="center"/>
    </xf>
    <xf numFmtId="0" fontId="0" fillId="0" borderId="0" applyProtection="1" pivotButton="0" quotePrefix="0" xfId="0">
      <protection locked="0" hidden="0"/>
    </xf>
    <xf numFmtId="0" fontId="1" fillId="0" borderId="0" applyAlignment="1" pivotButton="0" quotePrefix="0" xfId="0">
      <alignment horizontal="center"/>
    </xf>
    <xf numFmtId="0" fontId="3" fillId="0" borderId="1" applyAlignment="1" pivotButton="0" quotePrefix="0" xfId="0">
      <alignment horizontal="center" vertical="center"/>
    </xf>
    <xf numFmtId="0" fontId="3" fillId="5" borderId="1" applyAlignment="1" pivotButton="0" quotePrefix="0" xfId="0">
      <alignment horizontal="center" vertical="center"/>
    </xf>
    <xf numFmtId="0" fontId="4" fillId="6" borderId="1" applyAlignment="1" pivotButton="0" quotePrefix="0" xfId="0">
      <alignment horizontal="center" vertical="center"/>
    </xf>
    <xf numFmtId="0" fontId="5" fillId="0" borderId="0" applyAlignment="1" pivotButton="0" quotePrefix="0" xfId="0">
      <alignment horizontal="center"/>
    </xf>
    <xf numFmtId="0" fontId="6" fillId="0" borderId="2" applyAlignment="1" pivotButton="0" quotePrefix="0" xfId="0">
      <alignment horizontal="center" vertical="center" wrapText="1"/>
    </xf>
    <xf numFmtId="0" fontId="0" fillId="0" borderId="3" pivotButton="0" quotePrefix="0" xfId="0"/>
    <xf numFmtId="3" fontId="7" fillId="0" borderId="4" applyAlignment="1" pivotButton="0" quotePrefix="0" xfId="0">
      <alignment horizontal="center" vertical="center"/>
    </xf>
    <xf numFmtId="0" fontId="0" fillId="0" borderId="5" pivotButton="0" quotePrefix="0" xfId="0"/>
    <xf numFmtId="165" fontId="7" fillId="0" borderId="4" applyAlignment="1" pivotButton="0" quotePrefix="0" xfId="0">
      <alignment horizontal="center" vertical="center"/>
    </xf>
    <xf numFmtId="164" fontId="0" fillId="0" borderId="1" applyAlignment="1" applyProtection="1" pivotButton="0" quotePrefix="0" xfId="0">
      <alignment horizontal="center" vertical="center"/>
      <protection locked="0" hidden="0"/>
    </xf>
    <xf numFmtId="165" fontId="0" fillId="4" borderId="1" applyAlignment="1" pivotButton="0" quotePrefix="0" xfId="0">
      <alignment horizontal="center" vertical="center"/>
    </xf>
    <xf numFmtId="164" fontId="0" fillId="5" borderId="1" applyAlignment="1" applyProtection="1" pivotButton="0" quotePrefix="0" xfId="0">
      <alignment horizontal="center" vertical="center"/>
      <protection locked="0" hidden="0"/>
    </xf>
    <xf numFmtId="165" fontId="4" fillId="6" borderId="1" applyAlignment="1" pivotButton="0" quotePrefix="0" xfId="0">
      <alignment horizontal="center" vertical="center"/>
    </xf>
    <xf numFmtId="0" fontId="6" fillId="0" borderId="10" applyAlignment="1" pivotButton="0" quotePrefix="0" xfId="0">
      <alignment horizontal="center" vertical="center" wrapText="1"/>
    </xf>
    <xf numFmtId="0" fontId="0" fillId="0" borderId="13" pivotButton="0" quotePrefix="0" xfId="0"/>
    <xf numFmtId="3" fontId="7" fillId="0" borderId="6" applyAlignment="1" pivotButton="0" quotePrefix="0" xfId="0">
      <alignment horizontal="center" vertical="center"/>
    </xf>
    <xf numFmtId="0" fontId="0" fillId="0" borderId="9" pivotButton="0" quotePrefix="0" xfId="0"/>
    <xf numFmtId="165" fontId="7" fillId="0" borderId="6"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月營收 vs 成本 vs 毛利</a:t>
            </a:r>
          </a:p>
        </rich>
      </tx>
    </title>
    <plotArea>
      <barChart>
        <barDir val="col"/>
        <grouping val="clustered"/>
        <ser>
          <idx val="0"/>
          <order val="0"/>
          <tx>
            <strRef>
              <f>'月報表 Monthly Summary'!B2</f>
            </strRef>
          </tx>
          <spPr>
            <a:solidFill>
              <a:srgbClr val="2E75B6"/>
            </a:solidFill>
            <a:ln>
              <a:prstDash val="solid"/>
            </a:ln>
          </spPr>
          <cat>
            <numRef>
              <f>'月報表 Monthly Summary'!$A$3:$A$14</f>
            </numRef>
          </cat>
          <val>
            <numRef>
              <f>'月報表 Monthly Summary'!$B$3:$B$14</f>
            </numRef>
          </val>
        </ser>
        <ser>
          <idx val="1"/>
          <order val="1"/>
          <tx>
            <strRef>
              <f>'月報表 Monthly Summary'!C2</f>
            </strRef>
          </tx>
          <spPr>
            <a:solidFill>
              <a:srgbClr val="ED7D31"/>
            </a:solidFill>
            <a:ln>
              <a:prstDash val="solid"/>
            </a:ln>
          </spPr>
          <cat>
            <numRef>
              <f>'月報表 Monthly Summary'!$A$3:$A$14</f>
            </numRef>
          </cat>
          <val>
            <numRef>
              <f>'月報表 Monthly Summary'!$C$3:$C$14</f>
            </numRef>
          </val>
        </ser>
        <ser>
          <idx val="2"/>
          <order val="2"/>
          <tx>
            <strRef>
              <f>'月報表 Monthly Summary'!D2</f>
            </strRef>
          </tx>
          <spPr>
            <a:solidFill>
              <a:srgbClr val="70AD47"/>
            </a:solidFill>
            <a:ln>
              <a:prstDash val="solid"/>
            </a:ln>
          </spPr>
          <cat>
            <numRef>
              <f>'月報表 Monthly Summary'!$A$3:$A$14</f>
            </numRef>
          </cat>
          <val>
            <numRef>
              <f>'月報表 Monthly Summary'!$D$3:$D$14</f>
            </numRef>
          </val>
        </ser>
        <gapWidth val="150"/>
        <axId val="10"/>
        <axId val="100"/>
      </barChart>
      <catAx>
        <axId val="10"/>
        <scaling>
          <orientation val="minMax"/>
        </scaling>
        <axPos val="l"/>
        <title>
          <tx>
            <rich>
              <a:bodyPr/>
              <a:p>
                <a:pPr>
                  <a:defRPr/>
                </a:pPr>
                <a:r>
                  <a:t>月份</a:t>
                </a:r>
              </a:p>
            </rich>
          </tx>
        </title>
        <majorTickMark val="none"/>
        <minorTickMark val="none"/>
        <crossAx val="100"/>
        <lblOffset val="100"/>
      </catAx>
      <valAx>
        <axId val="100"/>
        <scaling>
          <orientation val="minMax"/>
        </scaling>
        <axPos val="l"/>
        <majorGridlines/>
        <title>
          <tx>
            <rich>
              <a:bodyPr/>
              <a:p>
                <a:pPr>
                  <a:defRPr/>
                </a:pPr>
                <a:r>
                  <a:t>金額</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營收 &amp; 毛利月趨勢 Revenue &amp; GP Trend</a:t>
            </a:r>
          </a:p>
        </rich>
      </tx>
    </title>
    <plotArea>
      <lineChart>
        <grouping val="standard"/>
        <ser>
          <idx val="0"/>
          <order val="0"/>
          <tx>
            <strRef>
              <f>'月報表 Monthly Summary'!B2</f>
            </strRef>
          </tx>
          <spPr>
            <a:ln>
              <a:solidFill>
                <a:srgbClr val="2E75B6"/>
              </a:solidFill>
              <a:prstDash val="solid"/>
            </a:ln>
          </spPr>
          <marker>
            <symbol val="none"/>
            <spPr>
              <a:ln>
                <a:prstDash val="solid"/>
              </a:ln>
            </spPr>
          </marker>
          <cat>
            <numRef>
              <f>'月報表 Monthly Summary'!$A$3:$A$14</f>
            </numRef>
          </cat>
          <val>
            <numRef>
              <f>'月報表 Monthly Summary'!$B$3:$B$14</f>
            </numRef>
          </val>
        </ser>
        <ser>
          <idx val="1"/>
          <order val="1"/>
          <tx>
            <strRef>
              <f>'月報表 Monthly Summary'!D2</f>
            </strRef>
          </tx>
          <spPr>
            <a:ln>
              <a:solidFill>
                <a:srgbClr val="70AD47"/>
              </a:solidFill>
              <a:prstDash val="solid"/>
            </a:ln>
          </spPr>
          <marker>
            <symbol val="none"/>
            <spPr>
              <a:ln>
                <a:prstDash val="solid"/>
              </a:ln>
            </spPr>
          </marker>
          <cat>
            <numRef>
              <f>'月報表 Monthly Summary'!$A$3:$A$14</f>
            </numRef>
          </cat>
          <val>
            <numRef>
              <f>'月報表 Monthly Summary'!$D$3:$D$14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金額</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本月費用結構 Expense Breakdown</a:t>
            </a:r>
          </a:p>
        </rich>
      </tx>
    </title>
    <plotArea>
      <pieChart>
        <varyColors val="1"/>
        <ser>
          <idx val="0"/>
          <order val="0"/>
          <spPr>
            <a:ln>
              <a:prstDash val="solid"/>
            </a:ln>
          </spPr>
          <cat>
            <numRef>
              <f>'儀表板 Dashboard'!$A$25:$A$28</f>
            </numRef>
          </cat>
          <val>
            <numRef>
              <f>'儀表板 Dashboard'!$B$25:$B$28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 Type="http://schemas.openxmlformats.org/officeDocument/2006/relationships/chart" Target="/xl/charts/chart3.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16</row>
      <rowOff>0</rowOff>
    </from>
    <ext cx="8640000" cy="50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6</row>
      <rowOff>0</rowOff>
    </from>
    <ext cx="8640000" cy="504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22</row>
      <rowOff>0</rowOff>
    </from>
    <ext cx="5760000" cy="50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M31"/>
  <sheetViews>
    <sheetView workbookViewId="0">
      <pane ySplit="2" topLeftCell="A3"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2" customWidth="1" min="5" max="5"/>
    <col width="14" customWidth="1" min="6" max="6"/>
    <col width="12" customWidth="1" min="7" max="7"/>
    <col width="14" customWidth="1" min="8" max="8"/>
    <col width="12" customWidth="1" min="9" max="9"/>
    <col width="14" customWidth="1" min="10" max="10"/>
    <col width="14" customWidth="1" min="11" max="11"/>
    <col width="12" customWidth="1" min="12" max="12"/>
    <col width="20" customWidth="1" min="13" max="13"/>
  </cols>
  <sheetData>
    <row r="1" ht="30" customHeight="1">
      <c r="A1" s="1" t="inlineStr">
        <is>
          <t>每日財務記錄 Daily Financial Input</t>
        </is>
      </c>
    </row>
    <row r="2" ht="40" customHeight="1">
      <c r="A2" s="2" t="inlineStr">
        <is>
          <t>日期
Date</t>
        </is>
      </c>
      <c r="B2" s="2" t="inlineStr">
        <is>
          <t>營收
Revenue</t>
        </is>
      </c>
      <c r="C2" s="2" t="inlineStr">
        <is>
          <t>銷貨成本
COGS</t>
        </is>
      </c>
      <c r="D2" s="2" t="inlineStr">
        <is>
          <t>人事費用
Payroll</t>
        </is>
      </c>
      <c r="E2" s="2" t="inlineStr">
        <is>
          <t>租金
Rent</t>
        </is>
      </c>
      <c r="F2" s="2" t="inlineStr">
        <is>
          <t>行銷費用
Marketing</t>
        </is>
      </c>
      <c r="G2" s="2" t="inlineStr">
        <is>
          <t>其他費用
Other</t>
        </is>
      </c>
      <c r="H2" s="2" t="inlineStr">
        <is>
          <t>毛利
Gross Profit</t>
        </is>
      </c>
      <c r="I2" s="2" t="inlineStr">
        <is>
          <t>毛利率
Gross Margin</t>
        </is>
      </c>
      <c r="J2" s="2" t="inlineStr">
        <is>
          <t>營業費用合計
Total OpEx</t>
        </is>
      </c>
      <c r="K2" s="2" t="inlineStr">
        <is>
          <t>營業利益
Operating Income</t>
        </is>
      </c>
      <c r="L2" s="2" t="inlineStr">
        <is>
          <t>營業利益率
OI Margin</t>
        </is>
      </c>
      <c r="M2" s="2" t="inlineStr">
        <is>
          <t>備註
Notes</t>
        </is>
      </c>
    </row>
    <row r="3">
      <c r="A3" s="24" t="n">
        <v>46054</v>
      </c>
      <c r="B3" s="4" t="n"/>
      <c r="C3" s="4" t="n"/>
      <c r="D3" s="4" t="n"/>
      <c r="E3" s="4" t="n"/>
      <c r="F3" s="4" t="n"/>
      <c r="G3" s="4" t="n"/>
      <c r="H3" s="5">
        <f>B3-C3</f>
        <v/>
      </c>
      <c r="I3" s="25">
        <f>IF(B3=0,"",H3/B3)</f>
        <v/>
      </c>
      <c r="J3" s="5">
        <f>D3+E3+F3+G3</f>
        <v/>
      </c>
      <c r="K3" s="5">
        <f>H3-J3</f>
        <v/>
      </c>
      <c r="L3" s="25">
        <f>IF(B3=0,"",K3/B3)</f>
        <v/>
      </c>
      <c r="M3" s="7" t="n"/>
    </row>
    <row r="4">
      <c r="A4" s="26" t="n">
        <v>46055</v>
      </c>
      <c r="B4" s="4" t="n"/>
      <c r="C4" s="4" t="n"/>
      <c r="D4" s="4" t="n"/>
      <c r="E4" s="4" t="n"/>
      <c r="F4" s="4" t="n"/>
      <c r="G4" s="4" t="n"/>
      <c r="H4" s="5">
        <f>B4-C4</f>
        <v/>
      </c>
      <c r="I4" s="25">
        <f>IF(B4=0,"",H4/B4)</f>
        <v/>
      </c>
      <c r="J4" s="5">
        <f>D4+E4+F4+G4</f>
        <v/>
      </c>
      <c r="K4" s="5">
        <f>H4-J4</f>
        <v/>
      </c>
      <c r="L4" s="25">
        <f>IF(B4=0,"",K4/B4)</f>
        <v/>
      </c>
      <c r="M4" s="7" t="n"/>
    </row>
    <row r="5">
      <c r="A5" s="24" t="n">
        <v>46056</v>
      </c>
      <c r="B5" s="4" t="n"/>
      <c r="C5" s="4" t="n"/>
      <c r="D5" s="4" t="n"/>
      <c r="E5" s="4" t="n"/>
      <c r="F5" s="4" t="n"/>
      <c r="G5" s="4" t="n"/>
      <c r="H5" s="5">
        <f>B5-C5</f>
        <v/>
      </c>
      <c r="I5" s="25">
        <f>IF(B5=0,"",H5/B5)</f>
        <v/>
      </c>
      <c r="J5" s="5">
        <f>D5+E5+F5+G5</f>
        <v/>
      </c>
      <c r="K5" s="5">
        <f>H5-J5</f>
        <v/>
      </c>
      <c r="L5" s="25">
        <f>IF(B5=0,"",K5/B5)</f>
        <v/>
      </c>
      <c r="M5" s="7" t="n"/>
    </row>
    <row r="6">
      <c r="A6" s="26" t="n">
        <v>46057</v>
      </c>
      <c r="B6" s="4" t="n"/>
      <c r="C6" s="4" t="n"/>
      <c r="D6" s="4" t="n"/>
      <c r="E6" s="4" t="n"/>
      <c r="F6" s="4" t="n"/>
      <c r="G6" s="4" t="n"/>
      <c r="H6" s="5">
        <f>B6-C6</f>
        <v/>
      </c>
      <c r="I6" s="25">
        <f>IF(B6=0,"",H6/B6)</f>
        <v/>
      </c>
      <c r="J6" s="5">
        <f>D6+E6+F6+G6</f>
        <v/>
      </c>
      <c r="K6" s="5">
        <f>H6-J6</f>
        <v/>
      </c>
      <c r="L6" s="25">
        <f>IF(B6=0,"",K6/B6)</f>
        <v/>
      </c>
      <c r="M6" s="7" t="n"/>
    </row>
    <row r="7">
      <c r="A7" s="24" t="n">
        <v>46058</v>
      </c>
      <c r="B7" s="4" t="n"/>
      <c r="C7" s="4" t="n"/>
      <c r="D7" s="4" t="n"/>
      <c r="E7" s="4" t="n"/>
      <c r="F7" s="4" t="n"/>
      <c r="G7" s="4" t="n"/>
      <c r="H7" s="5">
        <f>B7-C7</f>
        <v/>
      </c>
      <c r="I7" s="25">
        <f>IF(B7=0,"",H7/B7)</f>
        <v/>
      </c>
      <c r="J7" s="5">
        <f>D7+E7+F7+G7</f>
        <v/>
      </c>
      <c r="K7" s="5">
        <f>H7-J7</f>
        <v/>
      </c>
      <c r="L7" s="25">
        <f>IF(B7=0,"",K7/B7)</f>
        <v/>
      </c>
      <c r="M7" s="7" t="n"/>
    </row>
    <row r="8">
      <c r="A8" s="26" t="n">
        <v>46059</v>
      </c>
      <c r="B8" s="4" t="n"/>
      <c r="C8" s="4" t="n"/>
      <c r="D8" s="4" t="n"/>
      <c r="E8" s="4" t="n"/>
      <c r="F8" s="4" t="n"/>
      <c r="G8" s="4" t="n"/>
      <c r="H8" s="5">
        <f>B8-C8</f>
        <v/>
      </c>
      <c r="I8" s="25">
        <f>IF(B8=0,"",H8/B8)</f>
        <v/>
      </c>
      <c r="J8" s="5">
        <f>D8+E8+F8+G8</f>
        <v/>
      </c>
      <c r="K8" s="5">
        <f>H8-J8</f>
        <v/>
      </c>
      <c r="L8" s="25">
        <f>IF(B8=0,"",K8/B8)</f>
        <v/>
      </c>
      <c r="M8" s="7" t="n"/>
    </row>
    <row r="9">
      <c r="A9" s="24" t="n">
        <v>46060</v>
      </c>
      <c r="B9" s="4" t="n"/>
      <c r="C9" s="4" t="n"/>
      <c r="D9" s="4" t="n"/>
      <c r="E9" s="4" t="n"/>
      <c r="F9" s="4" t="n"/>
      <c r="G9" s="4" t="n"/>
      <c r="H9" s="5">
        <f>B9-C9</f>
        <v/>
      </c>
      <c r="I9" s="25">
        <f>IF(B9=0,"",H9/B9)</f>
        <v/>
      </c>
      <c r="J9" s="5">
        <f>D9+E9+F9+G9</f>
        <v/>
      </c>
      <c r="K9" s="5">
        <f>H9-J9</f>
        <v/>
      </c>
      <c r="L9" s="25">
        <f>IF(B9=0,"",K9/B9)</f>
        <v/>
      </c>
      <c r="M9" s="7" t="n"/>
    </row>
    <row r="10">
      <c r="A10" s="26" t="n">
        <v>46061</v>
      </c>
      <c r="B10" s="4" t="n"/>
      <c r="C10" s="4" t="n"/>
      <c r="D10" s="4" t="n"/>
      <c r="E10" s="4" t="n"/>
      <c r="F10" s="4" t="n"/>
      <c r="G10" s="4" t="n"/>
      <c r="H10" s="5">
        <f>B10-C10</f>
        <v/>
      </c>
      <c r="I10" s="25">
        <f>IF(B10=0,"",H10/B10)</f>
        <v/>
      </c>
      <c r="J10" s="5">
        <f>D10+E10+F10+G10</f>
        <v/>
      </c>
      <c r="K10" s="5">
        <f>H10-J10</f>
        <v/>
      </c>
      <c r="L10" s="25">
        <f>IF(B10=0,"",K10/B10)</f>
        <v/>
      </c>
      <c r="M10" s="7" t="n"/>
    </row>
    <row r="11">
      <c r="A11" s="24" t="n">
        <v>46062</v>
      </c>
      <c r="B11" s="4" t="n"/>
      <c r="C11" s="4" t="n"/>
      <c r="D11" s="4" t="n"/>
      <c r="E11" s="4" t="n"/>
      <c r="F11" s="4" t="n"/>
      <c r="G11" s="4" t="n"/>
      <c r="H11" s="5">
        <f>B11-C11</f>
        <v/>
      </c>
      <c r="I11" s="25">
        <f>IF(B11=0,"",H11/B11)</f>
        <v/>
      </c>
      <c r="J11" s="5">
        <f>D11+E11+F11+G11</f>
        <v/>
      </c>
      <c r="K11" s="5">
        <f>H11-J11</f>
        <v/>
      </c>
      <c r="L11" s="25">
        <f>IF(B11=0,"",K11/B11)</f>
        <v/>
      </c>
      <c r="M11" s="7" t="n"/>
    </row>
    <row r="12">
      <c r="A12" s="26" t="n">
        <v>46063</v>
      </c>
      <c r="B12" s="4" t="n"/>
      <c r="C12" s="4" t="n"/>
      <c r="D12" s="4" t="n"/>
      <c r="E12" s="4" t="n"/>
      <c r="F12" s="4" t="n"/>
      <c r="G12" s="4" t="n"/>
      <c r="H12" s="5">
        <f>B12-C12</f>
        <v/>
      </c>
      <c r="I12" s="25">
        <f>IF(B12=0,"",H12/B12)</f>
        <v/>
      </c>
      <c r="J12" s="5">
        <f>D12+E12+F12+G12</f>
        <v/>
      </c>
      <c r="K12" s="5">
        <f>H12-J12</f>
        <v/>
      </c>
      <c r="L12" s="25">
        <f>IF(B12=0,"",K12/B12)</f>
        <v/>
      </c>
      <c r="M12" s="7" t="n"/>
    </row>
    <row r="13">
      <c r="A13" s="24" t="n">
        <v>46064</v>
      </c>
      <c r="B13" s="4" t="n"/>
      <c r="C13" s="4" t="n"/>
      <c r="D13" s="4" t="n"/>
      <c r="E13" s="4" t="n"/>
      <c r="F13" s="4" t="n"/>
      <c r="G13" s="4" t="n"/>
      <c r="H13" s="5">
        <f>B13-C13</f>
        <v/>
      </c>
      <c r="I13" s="25">
        <f>IF(B13=0,"",H13/B13)</f>
        <v/>
      </c>
      <c r="J13" s="5">
        <f>D13+E13+F13+G13</f>
        <v/>
      </c>
      <c r="K13" s="5">
        <f>H13-J13</f>
        <v/>
      </c>
      <c r="L13" s="25">
        <f>IF(B13=0,"",K13/B13)</f>
        <v/>
      </c>
      <c r="M13" s="7" t="n"/>
    </row>
    <row r="14">
      <c r="A14" s="26" t="n">
        <v>46065</v>
      </c>
      <c r="B14" s="4" t="n"/>
      <c r="C14" s="4" t="n"/>
      <c r="D14" s="4" t="n"/>
      <c r="E14" s="4" t="n"/>
      <c r="F14" s="4" t="n"/>
      <c r="G14" s="4" t="n"/>
      <c r="H14" s="5">
        <f>B14-C14</f>
        <v/>
      </c>
      <c r="I14" s="25">
        <f>IF(B14=0,"",H14/B14)</f>
        <v/>
      </c>
      <c r="J14" s="5">
        <f>D14+E14+F14+G14</f>
        <v/>
      </c>
      <c r="K14" s="5">
        <f>H14-J14</f>
        <v/>
      </c>
      <c r="L14" s="25">
        <f>IF(B14=0,"",K14/B14)</f>
        <v/>
      </c>
      <c r="M14" s="7" t="n"/>
    </row>
    <row r="15">
      <c r="A15" s="24" t="n">
        <v>46066</v>
      </c>
      <c r="B15" s="4" t="n"/>
      <c r="C15" s="4" t="n"/>
      <c r="D15" s="4" t="n"/>
      <c r="E15" s="4" t="n"/>
      <c r="F15" s="4" t="n"/>
      <c r="G15" s="4" t="n"/>
      <c r="H15" s="5">
        <f>B15-C15</f>
        <v/>
      </c>
      <c r="I15" s="25">
        <f>IF(B15=0,"",H15/B15)</f>
        <v/>
      </c>
      <c r="J15" s="5">
        <f>D15+E15+F15+G15</f>
        <v/>
      </c>
      <c r="K15" s="5">
        <f>H15-J15</f>
        <v/>
      </c>
      <c r="L15" s="25">
        <f>IF(B15=0,"",K15/B15)</f>
        <v/>
      </c>
      <c r="M15" s="7" t="n"/>
    </row>
    <row r="16">
      <c r="A16" s="26" t="n">
        <v>46067</v>
      </c>
      <c r="B16" s="4" t="n"/>
      <c r="C16" s="4" t="n"/>
      <c r="D16" s="4" t="n"/>
      <c r="E16" s="4" t="n"/>
      <c r="F16" s="4" t="n"/>
      <c r="G16" s="4" t="n"/>
      <c r="H16" s="5">
        <f>B16-C16</f>
        <v/>
      </c>
      <c r="I16" s="25">
        <f>IF(B16=0,"",H16/B16)</f>
        <v/>
      </c>
      <c r="J16" s="5">
        <f>D16+E16+F16+G16</f>
        <v/>
      </c>
      <c r="K16" s="5">
        <f>H16-J16</f>
        <v/>
      </c>
      <c r="L16" s="25">
        <f>IF(B16=0,"",K16/B16)</f>
        <v/>
      </c>
      <c r="M16" s="7" t="n"/>
    </row>
    <row r="17">
      <c r="A17" s="24" t="n">
        <v>46068</v>
      </c>
      <c r="B17" s="4" t="n"/>
      <c r="C17" s="4" t="n"/>
      <c r="D17" s="4" t="n"/>
      <c r="E17" s="4" t="n"/>
      <c r="F17" s="4" t="n"/>
      <c r="G17" s="4" t="n"/>
      <c r="H17" s="5">
        <f>B17-C17</f>
        <v/>
      </c>
      <c r="I17" s="25">
        <f>IF(B17=0,"",H17/B17)</f>
        <v/>
      </c>
      <c r="J17" s="5">
        <f>D17+E17+F17+G17</f>
        <v/>
      </c>
      <c r="K17" s="5">
        <f>H17-J17</f>
        <v/>
      </c>
      <c r="L17" s="25">
        <f>IF(B17=0,"",K17/B17)</f>
        <v/>
      </c>
      <c r="M17" s="7" t="n"/>
    </row>
    <row r="18">
      <c r="A18" s="26" t="n">
        <v>46069</v>
      </c>
      <c r="B18" s="4" t="n"/>
      <c r="C18" s="4" t="n"/>
      <c r="D18" s="4" t="n"/>
      <c r="E18" s="4" t="n"/>
      <c r="F18" s="4" t="n"/>
      <c r="G18" s="4" t="n"/>
      <c r="H18" s="5">
        <f>B18-C18</f>
        <v/>
      </c>
      <c r="I18" s="25">
        <f>IF(B18=0,"",H18/B18)</f>
        <v/>
      </c>
      <c r="J18" s="5">
        <f>D18+E18+F18+G18</f>
        <v/>
      </c>
      <c r="K18" s="5">
        <f>H18-J18</f>
        <v/>
      </c>
      <c r="L18" s="25">
        <f>IF(B18=0,"",K18/B18)</f>
        <v/>
      </c>
      <c r="M18" s="7" t="n"/>
    </row>
    <row r="19">
      <c r="A19" s="24" t="n">
        <v>46070</v>
      </c>
      <c r="B19" s="4" t="n"/>
      <c r="C19" s="4" t="n"/>
      <c r="D19" s="4" t="n"/>
      <c r="E19" s="4" t="n"/>
      <c r="F19" s="4" t="n"/>
      <c r="G19" s="4" t="n"/>
      <c r="H19" s="5">
        <f>B19-C19</f>
        <v/>
      </c>
      <c r="I19" s="25">
        <f>IF(B19=0,"",H19/B19)</f>
        <v/>
      </c>
      <c r="J19" s="5">
        <f>D19+E19+F19+G19</f>
        <v/>
      </c>
      <c r="K19" s="5">
        <f>H19-J19</f>
        <v/>
      </c>
      <c r="L19" s="25">
        <f>IF(B19=0,"",K19/B19)</f>
        <v/>
      </c>
      <c r="M19" s="7" t="n"/>
    </row>
    <row r="20">
      <c r="A20" s="26" t="n">
        <v>46071</v>
      </c>
      <c r="B20" s="4" t="n"/>
      <c r="C20" s="4" t="n"/>
      <c r="D20" s="4" t="n"/>
      <c r="E20" s="4" t="n"/>
      <c r="F20" s="4" t="n"/>
      <c r="G20" s="4" t="n"/>
      <c r="H20" s="5">
        <f>B20-C20</f>
        <v/>
      </c>
      <c r="I20" s="25">
        <f>IF(B20=0,"",H20/B20)</f>
        <v/>
      </c>
      <c r="J20" s="5">
        <f>D20+E20+F20+G20</f>
        <v/>
      </c>
      <c r="K20" s="5">
        <f>H20-J20</f>
        <v/>
      </c>
      <c r="L20" s="25">
        <f>IF(B20=0,"",K20/B20)</f>
        <v/>
      </c>
      <c r="M20" s="7" t="n"/>
    </row>
    <row r="21">
      <c r="A21" s="24" t="n">
        <v>46072</v>
      </c>
      <c r="B21" s="4" t="n"/>
      <c r="C21" s="4" t="n"/>
      <c r="D21" s="4" t="n"/>
      <c r="E21" s="4" t="n"/>
      <c r="F21" s="4" t="n"/>
      <c r="G21" s="4" t="n"/>
      <c r="H21" s="5">
        <f>B21-C21</f>
        <v/>
      </c>
      <c r="I21" s="25">
        <f>IF(B21=0,"",H21/B21)</f>
        <v/>
      </c>
      <c r="J21" s="5">
        <f>D21+E21+F21+G21</f>
        <v/>
      </c>
      <c r="K21" s="5">
        <f>H21-J21</f>
        <v/>
      </c>
      <c r="L21" s="25">
        <f>IF(B21=0,"",K21/B21)</f>
        <v/>
      </c>
      <c r="M21" s="7" t="n"/>
    </row>
    <row r="22">
      <c r="A22" s="26" t="n">
        <v>46073</v>
      </c>
      <c r="B22" s="4" t="n"/>
      <c r="C22" s="4" t="n"/>
      <c r="D22" s="4" t="n"/>
      <c r="E22" s="4" t="n"/>
      <c r="F22" s="4" t="n"/>
      <c r="G22" s="4" t="n"/>
      <c r="H22" s="5">
        <f>B22-C22</f>
        <v/>
      </c>
      <c r="I22" s="25">
        <f>IF(B22=0,"",H22/B22)</f>
        <v/>
      </c>
      <c r="J22" s="5">
        <f>D22+E22+F22+G22</f>
        <v/>
      </c>
      <c r="K22" s="5">
        <f>H22-J22</f>
        <v/>
      </c>
      <c r="L22" s="25">
        <f>IF(B22=0,"",K22/B22)</f>
        <v/>
      </c>
      <c r="M22" s="7" t="n"/>
    </row>
    <row r="23">
      <c r="A23" s="24" t="n">
        <v>46074</v>
      </c>
      <c r="B23" s="4" t="n"/>
      <c r="C23" s="4" t="n"/>
      <c r="D23" s="4" t="n"/>
      <c r="E23" s="4" t="n"/>
      <c r="F23" s="4" t="n"/>
      <c r="G23" s="4" t="n"/>
      <c r="H23" s="5">
        <f>B23-C23</f>
        <v/>
      </c>
      <c r="I23" s="25">
        <f>IF(B23=0,"",H23/B23)</f>
        <v/>
      </c>
      <c r="J23" s="5">
        <f>D23+E23+F23+G23</f>
        <v/>
      </c>
      <c r="K23" s="5">
        <f>H23-J23</f>
        <v/>
      </c>
      <c r="L23" s="25">
        <f>IF(B23=0,"",K23/B23)</f>
        <v/>
      </c>
      <c r="M23" s="7" t="n"/>
    </row>
    <row r="24">
      <c r="A24" s="26" t="n">
        <v>46075</v>
      </c>
      <c r="B24" s="4" t="n"/>
      <c r="C24" s="4" t="n"/>
      <c r="D24" s="4" t="n"/>
      <c r="E24" s="4" t="n"/>
      <c r="F24" s="4" t="n"/>
      <c r="G24" s="4" t="n"/>
      <c r="H24" s="5">
        <f>B24-C24</f>
        <v/>
      </c>
      <c r="I24" s="25">
        <f>IF(B24=0,"",H24/B24)</f>
        <v/>
      </c>
      <c r="J24" s="5">
        <f>D24+E24+F24+G24</f>
        <v/>
      </c>
      <c r="K24" s="5">
        <f>H24-J24</f>
        <v/>
      </c>
      <c r="L24" s="25">
        <f>IF(B24=0,"",K24/B24)</f>
        <v/>
      </c>
      <c r="M24" s="7" t="n"/>
    </row>
    <row r="25">
      <c r="A25" s="24" t="n">
        <v>46076</v>
      </c>
      <c r="B25" s="4" t="n"/>
      <c r="C25" s="4" t="n"/>
      <c r="D25" s="4" t="n"/>
      <c r="E25" s="4" t="n"/>
      <c r="F25" s="4" t="n"/>
      <c r="G25" s="4" t="n"/>
      <c r="H25" s="5">
        <f>B25-C25</f>
        <v/>
      </c>
      <c r="I25" s="25">
        <f>IF(B25=0,"",H25/B25)</f>
        <v/>
      </c>
      <c r="J25" s="5">
        <f>D25+E25+F25+G25</f>
        <v/>
      </c>
      <c r="K25" s="5">
        <f>H25-J25</f>
        <v/>
      </c>
      <c r="L25" s="25">
        <f>IF(B25=0,"",K25/B25)</f>
        <v/>
      </c>
      <c r="M25" s="7" t="n"/>
    </row>
    <row r="26">
      <c r="A26" s="26" t="n">
        <v>46077</v>
      </c>
      <c r="B26" s="4" t="n"/>
      <c r="C26" s="4" t="n"/>
      <c r="D26" s="4" t="n"/>
      <c r="E26" s="4" t="n"/>
      <c r="F26" s="4" t="n"/>
      <c r="G26" s="4" t="n"/>
      <c r="H26" s="5">
        <f>B26-C26</f>
        <v/>
      </c>
      <c r="I26" s="25">
        <f>IF(B26=0,"",H26/B26)</f>
        <v/>
      </c>
      <c r="J26" s="5">
        <f>D26+E26+F26+G26</f>
        <v/>
      </c>
      <c r="K26" s="5">
        <f>H26-J26</f>
        <v/>
      </c>
      <c r="L26" s="25">
        <f>IF(B26=0,"",K26/B26)</f>
        <v/>
      </c>
      <c r="M26" s="7" t="n"/>
    </row>
    <row r="27">
      <c r="A27" s="24" t="n">
        <v>46078</v>
      </c>
      <c r="B27" s="4" t="n"/>
      <c r="C27" s="4" t="n"/>
      <c r="D27" s="4" t="n"/>
      <c r="E27" s="4" t="n"/>
      <c r="F27" s="4" t="n"/>
      <c r="G27" s="4" t="n"/>
      <c r="H27" s="5">
        <f>B27-C27</f>
        <v/>
      </c>
      <c r="I27" s="25">
        <f>IF(B27=0,"",H27/B27)</f>
        <v/>
      </c>
      <c r="J27" s="5">
        <f>D27+E27+F27+G27</f>
        <v/>
      </c>
      <c r="K27" s="5">
        <f>H27-J27</f>
        <v/>
      </c>
      <c r="L27" s="25">
        <f>IF(B27=0,"",K27/B27)</f>
        <v/>
      </c>
      <c r="M27" s="7" t="n"/>
    </row>
    <row r="28">
      <c r="A28" s="26" t="n">
        <v>46079</v>
      </c>
      <c r="B28" s="4" t="n"/>
      <c r="C28" s="4" t="n"/>
      <c r="D28" s="4" t="n"/>
      <c r="E28" s="4" t="n"/>
      <c r="F28" s="4" t="n"/>
      <c r="G28" s="4" t="n"/>
      <c r="H28" s="5">
        <f>B28-C28</f>
        <v/>
      </c>
      <c r="I28" s="25">
        <f>IF(B28=0,"",H28/B28)</f>
        <v/>
      </c>
      <c r="J28" s="5">
        <f>D28+E28+F28+G28</f>
        <v/>
      </c>
      <c r="K28" s="5">
        <f>H28-J28</f>
        <v/>
      </c>
      <c r="L28" s="25">
        <f>IF(B28=0,"",K28/B28)</f>
        <v/>
      </c>
      <c r="M28" s="7" t="n"/>
    </row>
    <row r="29">
      <c r="A29" s="24" t="n">
        <v>46080</v>
      </c>
      <c r="B29" s="4" t="n"/>
      <c r="C29" s="4" t="n"/>
      <c r="D29" s="4" t="n"/>
      <c r="E29" s="4" t="n"/>
      <c r="F29" s="4" t="n"/>
      <c r="G29" s="4" t="n"/>
      <c r="H29" s="5">
        <f>B29-C29</f>
        <v/>
      </c>
      <c r="I29" s="25">
        <f>IF(B29=0,"",H29/B29)</f>
        <v/>
      </c>
      <c r="J29" s="5">
        <f>D29+E29+F29+G29</f>
        <v/>
      </c>
      <c r="K29" s="5">
        <f>H29-J29</f>
        <v/>
      </c>
      <c r="L29" s="25">
        <f>IF(B29=0,"",K29/B29)</f>
        <v/>
      </c>
      <c r="M29" s="7" t="n"/>
    </row>
    <row r="30">
      <c r="A30" s="26" t="n">
        <v>46081</v>
      </c>
      <c r="B30" s="4" t="n"/>
      <c r="C30" s="4" t="n"/>
      <c r="D30" s="4" t="n"/>
      <c r="E30" s="4" t="n"/>
      <c r="F30" s="4" t="n"/>
      <c r="G30" s="4" t="n"/>
      <c r="H30" s="5">
        <f>B30-C30</f>
        <v/>
      </c>
      <c r="I30" s="25">
        <f>IF(B30=0,"",H30/B30)</f>
        <v/>
      </c>
      <c r="J30" s="5">
        <f>D30+E30+F30+G30</f>
        <v/>
      </c>
      <c r="K30" s="5">
        <f>H30-J30</f>
        <v/>
      </c>
      <c r="L30" s="25">
        <f>IF(B30=0,"",K30/B30)</f>
        <v/>
      </c>
      <c r="M30" s="7" t="n"/>
    </row>
    <row r="31">
      <c r="A31" s="9" t="inlineStr">
        <is>
          <t>合計 Total</t>
        </is>
      </c>
      <c r="B31" s="10">
        <f>SUM(B3:B32)</f>
        <v/>
      </c>
      <c r="C31" s="10">
        <f>SUM(C3:C32)</f>
        <v/>
      </c>
      <c r="D31" s="10">
        <f>SUM(D3:D32)</f>
        <v/>
      </c>
      <c r="E31" s="10">
        <f>SUM(E3:E32)</f>
        <v/>
      </c>
      <c r="F31" s="10">
        <f>SUM(F3:F32)</f>
        <v/>
      </c>
      <c r="G31" s="10">
        <f>SUM(G3:G32)</f>
        <v/>
      </c>
      <c r="H31" s="11">
        <f>SUM(H3:H32)</f>
        <v/>
      </c>
      <c r="I31" s="27">
        <f>IF(B33=0,"",H33/B33)</f>
        <v/>
      </c>
      <c r="J31" s="11">
        <f>SUM(J3:J32)</f>
        <v/>
      </c>
      <c r="K31" s="11">
        <f>SUM(K3:K32)</f>
        <v/>
      </c>
      <c r="L31" s="27">
        <f>IF(B33=0,"",K33/B33)</f>
        <v/>
      </c>
      <c r="M31" s="13" t="n"/>
    </row>
  </sheetData>
  <sheetProtection selectLockedCells="0" selectUnlockedCells="0" sheet="1" objects="0" insertRows="0" insertHyperlinks="1" autoFilter="0" scenarios="0" formatColumns="0" deleteColumns="1" insertColumns="0" pivotTables="1" deleteRows="1" formatCells="0" formatRows="0" sort="0"/>
  <mergeCells count="1">
    <mergeCell ref="A1:M1"/>
  </mergeCells>
  <dataValidations count="1">
    <dataValidation sqref="B3 B4 B5 B6 B7 B8 B9 B10 B11 B12 B13 B14 B15 B16 B17 B18 B19 B20 B21 B22 B23 B24 B25 B26 B27 B28 B29 B30 B31 B32 C3 C4 C5 C6 C7 C8 C9 C10 C11 C12 C13 C14 C15 C16 C17 C18 C19 C20 C21 C22 C23 C24 C25 C26 C27 C28 C29 C30 C31 C32 D3 D4 D5 D6 D7 D8 D9 D10 D11 D12 D13 D14 D15 D16 D17 D18 D19 D20 D21 D22 D23 D24 D25 D26 D27 D28 D29 D30 D31 D32 E3 E4 E5 E6 E7 E8 E9 E10 E11 E12 E13 E14 E15 E16 E17 E18 E19 E20 E21 E22 E23 E24 E25 E26 E27 E28 E29 E30 E31 E32 F3 F4 F5 F6 F7 F8 F9 F10 F11 F12 F13 F14 F15 F16 F17 F18 F19 F20 F21 F22 F23 F24 F25 F26 F27 F28 F29 F30 F31 F32 G3 G4 G5 G6 G7 G8 G9 G10 G11 G12 G13 G14 G15 G16 G17 G18 G19 G20 G21 G22 G23 G24 G25 G26 G27 G28 G29 G30 G31 G32" showDropDown="0" showInputMessage="0" showErrorMessage="0" allowBlank="1" errorTitle="輸入錯誤" error="請輸入數字"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
  <sheetViews>
    <sheetView workbookViewId="0">
      <pane ySplit="2" topLeftCell="A3" activePane="bottomLeft" state="frozen"/>
      <selection pane="bottomLeft" activeCell="A1" sqref="A1"/>
    </sheetView>
  </sheetViews>
  <sheetFormatPr baseColWidth="8" defaultRowHeight="15"/>
  <cols>
    <col width="12" customWidth="1" min="1" max="1"/>
    <col width="14" customWidth="1" min="2" max="2"/>
    <col width="14" customWidth="1" min="3" max="3"/>
    <col width="14" customWidth="1" min="4" max="4"/>
    <col width="12" customWidth="1" min="5" max="5"/>
    <col width="14" customWidth="1" min="6" max="6"/>
    <col width="14" customWidth="1" min="7" max="7"/>
    <col width="12" customWidth="1" min="8" max="8"/>
  </cols>
  <sheetData>
    <row r="1" ht="30" customHeight="1">
      <c r="A1" s="14" t="inlineStr">
        <is>
          <t>月度財務摘要 Monthly Financial Summary</t>
        </is>
      </c>
    </row>
    <row r="2" ht="40" customHeight="1">
      <c r="A2" s="2" t="inlineStr">
        <is>
          <t>月份
Month</t>
        </is>
      </c>
      <c r="B2" s="2" t="inlineStr">
        <is>
          <t>總營收
Revenue</t>
        </is>
      </c>
      <c r="C2" s="2" t="inlineStr">
        <is>
          <t>總成本
COGS</t>
        </is>
      </c>
      <c r="D2" s="2" t="inlineStr">
        <is>
          <t>毛利
Gross Profit</t>
        </is>
      </c>
      <c r="E2" s="2" t="inlineStr">
        <is>
          <t>毛利率
Gross Margin</t>
        </is>
      </c>
      <c r="F2" s="2" t="inlineStr">
        <is>
          <t>總費用
Total OpEx</t>
        </is>
      </c>
      <c r="G2" s="2" t="inlineStr">
        <is>
          <t>營業利益
Op. Income</t>
        </is>
      </c>
      <c r="H2" s="2" t="inlineStr">
        <is>
          <t>營業利益率
OI Margin</t>
        </is>
      </c>
    </row>
    <row r="3">
      <c r="A3" s="15" t="inlineStr">
        <is>
          <t>1月</t>
        </is>
      </c>
      <c r="B3" s="5">
        <f>SUMPRODUCT((MONTH('每日記錄 Daily Input'!A3:A32)=1)*'每日記錄 Daily Input'!B3:B32)</f>
        <v/>
      </c>
      <c r="C3" s="5">
        <f>SUMPRODUCT((MONTH('每日記錄 Daily Input'!A3:A32)=1)*'每日記錄 Daily Input'!C3:C32)</f>
        <v/>
      </c>
      <c r="D3" s="5">
        <f>B3-C3</f>
        <v/>
      </c>
      <c r="E3" s="25">
        <f>IF(B3=0,"",D3/B3)</f>
        <v/>
      </c>
      <c r="F3" s="5">
        <f>SUMPRODUCT((MONTH('每日記錄 Daily Input'!A3:A32)=1)*'每日記錄 Daily Input'!J3:J32)</f>
        <v/>
      </c>
      <c r="G3" s="5">
        <f>D3-F3</f>
        <v/>
      </c>
      <c r="H3" s="25">
        <f>IF(B3=0,"",G3/B3)</f>
        <v/>
      </c>
    </row>
    <row r="4">
      <c r="A4" s="16" t="inlineStr">
        <is>
          <t>2月</t>
        </is>
      </c>
      <c r="B4" s="5">
        <f>SUMPRODUCT((MONTH('每日記錄 Daily Input'!A3:A32)=2)*'每日記錄 Daily Input'!B3:B32)</f>
        <v/>
      </c>
      <c r="C4" s="5">
        <f>SUMPRODUCT((MONTH('每日記錄 Daily Input'!A3:A32)=2)*'每日記錄 Daily Input'!C3:C32)</f>
        <v/>
      </c>
      <c r="D4" s="5">
        <f>B4-C4</f>
        <v/>
      </c>
      <c r="E4" s="25">
        <f>IF(B4=0,"",D4/B4)</f>
        <v/>
      </c>
      <c r="F4" s="5">
        <f>SUMPRODUCT((MONTH('每日記錄 Daily Input'!A3:A32)=2)*'每日記錄 Daily Input'!J3:J32)</f>
        <v/>
      </c>
      <c r="G4" s="5">
        <f>D4-F4</f>
        <v/>
      </c>
      <c r="H4" s="25">
        <f>IF(B4=0,"",G4/B4)</f>
        <v/>
      </c>
    </row>
    <row r="5">
      <c r="A5" s="15" t="inlineStr">
        <is>
          <t>3月</t>
        </is>
      </c>
      <c r="B5" s="5">
        <f>SUMPRODUCT((MONTH('每日記錄 Daily Input'!A3:A32)=3)*'每日記錄 Daily Input'!B3:B32)</f>
        <v/>
      </c>
      <c r="C5" s="5">
        <f>SUMPRODUCT((MONTH('每日記錄 Daily Input'!A3:A32)=3)*'每日記錄 Daily Input'!C3:C32)</f>
        <v/>
      </c>
      <c r="D5" s="5">
        <f>B5-C5</f>
        <v/>
      </c>
      <c r="E5" s="25">
        <f>IF(B5=0,"",D5/B5)</f>
        <v/>
      </c>
      <c r="F5" s="5">
        <f>SUMPRODUCT((MONTH('每日記錄 Daily Input'!A3:A32)=3)*'每日記錄 Daily Input'!J3:J32)</f>
        <v/>
      </c>
      <c r="G5" s="5">
        <f>D5-F5</f>
        <v/>
      </c>
      <c r="H5" s="25">
        <f>IF(B5=0,"",G5/B5)</f>
        <v/>
      </c>
    </row>
    <row r="6">
      <c r="A6" s="16" t="inlineStr">
        <is>
          <t>4月</t>
        </is>
      </c>
      <c r="B6" s="5">
        <f>SUMPRODUCT((MONTH('每日記錄 Daily Input'!A3:A32)=4)*'每日記錄 Daily Input'!B3:B32)</f>
        <v/>
      </c>
      <c r="C6" s="5">
        <f>SUMPRODUCT((MONTH('每日記錄 Daily Input'!A3:A32)=4)*'每日記錄 Daily Input'!C3:C32)</f>
        <v/>
      </c>
      <c r="D6" s="5">
        <f>B6-C6</f>
        <v/>
      </c>
      <c r="E6" s="25">
        <f>IF(B6=0,"",D6/B6)</f>
        <v/>
      </c>
      <c r="F6" s="5">
        <f>SUMPRODUCT((MONTH('每日記錄 Daily Input'!A3:A32)=4)*'每日記錄 Daily Input'!J3:J32)</f>
        <v/>
      </c>
      <c r="G6" s="5">
        <f>D6-F6</f>
        <v/>
      </c>
      <c r="H6" s="25">
        <f>IF(B6=0,"",G6/B6)</f>
        <v/>
      </c>
    </row>
    <row r="7">
      <c r="A7" s="15" t="inlineStr">
        <is>
          <t>5月</t>
        </is>
      </c>
      <c r="B7" s="5">
        <f>SUMPRODUCT((MONTH('每日記錄 Daily Input'!A3:A32)=5)*'每日記錄 Daily Input'!B3:B32)</f>
        <v/>
      </c>
      <c r="C7" s="5">
        <f>SUMPRODUCT((MONTH('每日記錄 Daily Input'!A3:A32)=5)*'每日記錄 Daily Input'!C3:C32)</f>
        <v/>
      </c>
      <c r="D7" s="5">
        <f>B7-C7</f>
        <v/>
      </c>
      <c r="E7" s="25">
        <f>IF(B7=0,"",D7/B7)</f>
        <v/>
      </c>
      <c r="F7" s="5">
        <f>SUMPRODUCT((MONTH('每日記錄 Daily Input'!A3:A32)=5)*'每日記錄 Daily Input'!J3:J32)</f>
        <v/>
      </c>
      <c r="G7" s="5">
        <f>D7-F7</f>
        <v/>
      </c>
      <c r="H7" s="25">
        <f>IF(B7=0,"",G7/B7)</f>
        <v/>
      </c>
    </row>
    <row r="8">
      <c r="A8" s="16" t="inlineStr">
        <is>
          <t>6月</t>
        </is>
      </c>
      <c r="B8" s="5">
        <f>SUMPRODUCT((MONTH('每日記錄 Daily Input'!A3:A32)=6)*'每日記錄 Daily Input'!B3:B32)</f>
        <v/>
      </c>
      <c r="C8" s="5">
        <f>SUMPRODUCT((MONTH('每日記錄 Daily Input'!A3:A32)=6)*'每日記錄 Daily Input'!C3:C32)</f>
        <v/>
      </c>
      <c r="D8" s="5">
        <f>B8-C8</f>
        <v/>
      </c>
      <c r="E8" s="25">
        <f>IF(B8=0,"",D8/B8)</f>
        <v/>
      </c>
      <c r="F8" s="5">
        <f>SUMPRODUCT((MONTH('每日記錄 Daily Input'!A3:A32)=6)*'每日記錄 Daily Input'!J3:J32)</f>
        <v/>
      </c>
      <c r="G8" s="5">
        <f>D8-F8</f>
        <v/>
      </c>
      <c r="H8" s="25">
        <f>IF(B8=0,"",G8/B8)</f>
        <v/>
      </c>
    </row>
    <row r="9">
      <c r="A9" s="15" t="inlineStr">
        <is>
          <t>7月</t>
        </is>
      </c>
      <c r="B9" s="5">
        <f>SUMPRODUCT((MONTH('每日記錄 Daily Input'!A3:A32)=7)*'每日記錄 Daily Input'!B3:B32)</f>
        <v/>
      </c>
      <c r="C9" s="5">
        <f>SUMPRODUCT((MONTH('每日記錄 Daily Input'!A3:A32)=7)*'每日記錄 Daily Input'!C3:C32)</f>
        <v/>
      </c>
      <c r="D9" s="5">
        <f>B9-C9</f>
        <v/>
      </c>
      <c r="E9" s="25">
        <f>IF(B9=0,"",D9/B9)</f>
        <v/>
      </c>
      <c r="F9" s="5">
        <f>SUMPRODUCT((MONTH('每日記錄 Daily Input'!A3:A32)=7)*'每日記錄 Daily Input'!J3:J32)</f>
        <v/>
      </c>
      <c r="G9" s="5">
        <f>D9-F9</f>
        <v/>
      </c>
      <c r="H9" s="25">
        <f>IF(B9=0,"",G9/B9)</f>
        <v/>
      </c>
    </row>
    <row r="10">
      <c r="A10" s="16" t="inlineStr">
        <is>
          <t>8月</t>
        </is>
      </c>
      <c r="B10" s="5">
        <f>SUMPRODUCT((MONTH('每日記錄 Daily Input'!A3:A32)=8)*'每日記錄 Daily Input'!B3:B32)</f>
        <v/>
      </c>
      <c r="C10" s="5">
        <f>SUMPRODUCT((MONTH('每日記錄 Daily Input'!A3:A32)=8)*'每日記錄 Daily Input'!C3:C32)</f>
        <v/>
      </c>
      <c r="D10" s="5">
        <f>B10-C10</f>
        <v/>
      </c>
      <c r="E10" s="25">
        <f>IF(B10=0,"",D10/B10)</f>
        <v/>
      </c>
      <c r="F10" s="5">
        <f>SUMPRODUCT((MONTH('每日記錄 Daily Input'!A3:A32)=8)*'每日記錄 Daily Input'!J3:J32)</f>
        <v/>
      </c>
      <c r="G10" s="5">
        <f>D10-F10</f>
        <v/>
      </c>
      <c r="H10" s="25">
        <f>IF(B10=0,"",G10/B10)</f>
        <v/>
      </c>
    </row>
    <row r="11">
      <c r="A11" s="15" t="inlineStr">
        <is>
          <t>9月</t>
        </is>
      </c>
      <c r="B11" s="5">
        <f>SUMPRODUCT((MONTH('每日記錄 Daily Input'!A3:A32)=9)*'每日記錄 Daily Input'!B3:B32)</f>
        <v/>
      </c>
      <c r="C11" s="5">
        <f>SUMPRODUCT((MONTH('每日記錄 Daily Input'!A3:A32)=9)*'每日記錄 Daily Input'!C3:C32)</f>
        <v/>
      </c>
      <c r="D11" s="5">
        <f>B11-C11</f>
        <v/>
      </c>
      <c r="E11" s="25">
        <f>IF(B11=0,"",D11/B11)</f>
        <v/>
      </c>
      <c r="F11" s="5">
        <f>SUMPRODUCT((MONTH('每日記錄 Daily Input'!A3:A32)=9)*'每日記錄 Daily Input'!J3:J32)</f>
        <v/>
      </c>
      <c r="G11" s="5">
        <f>D11-F11</f>
        <v/>
      </c>
      <c r="H11" s="25">
        <f>IF(B11=0,"",G11/B11)</f>
        <v/>
      </c>
    </row>
    <row r="12">
      <c r="A12" s="16" t="inlineStr">
        <is>
          <t>10月</t>
        </is>
      </c>
      <c r="B12" s="5">
        <f>SUMPRODUCT((MONTH('每日記錄 Daily Input'!A3:A32)=10)*'每日記錄 Daily Input'!B3:B32)</f>
        <v/>
      </c>
      <c r="C12" s="5">
        <f>SUMPRODUCT((MONTH('每日記錄 Daily Input'!A3:A32)=10)*'每日記錄 Daily Input'!C3:C32)</f>
        <v/>
      </c>
      <c r="D12" s="5">
        <f>B12-C12</f>
        <v/>
      </c>
      <c r="E12" s="25">
        <f>IF(B12=0,"",D12/B12)</f>
        <v/>
      </c>
      <c r="F12" s="5">
        <f>SUMPRODUCT((MONTH('每日記錄 Daily Input'!A3:A32)=10)*'每日記錄 Daily Input'!J3:J32)</f>
        <v/>
      </c>
      <c r="G12" s="5">
        <f>D12-F12</f>
        <v/>
      </c>
      <c r="H12" s="25">
        <f>IF(B12=0,"",G12/B12)</f>
        <v/>
      </c>
    </row>
    <row r="13">
      <c r="A13" s="15" t="inlineStr">
        <is>
          <t>11月</t>
        </is>
      </c>
      <c r="B13" s="5">
        <f>SUMPRODUCT((MONTH('每日記錄 Daily Input'!A3:A32)=11)*'每日記錄 Daily Input'!B3:B32)</f>
        <v/>
      </c>
      <c r="C13" s="5">
        <f>SUMPRODUCT((MONTH('每日記錄 Daily Input'!A3:A32)=11)*'每日記錄 Daily Input'!C3:C32)</f>
        <v/>
      </c>
      <c r="D13" s="5">
        <f>B13-C13</f>
        <v/>
      </c>
      <c r="E13" s="25">
        <f>IF(B13=0,"",D13/B13)</f>
        <v/>
      </c>
      <c r="F13" s="5">
        <f>SUMPRODUCT((MONTH('每日記錄 Daily Input'!A3:A32)=11)*'每日記錄 Daily Input'!J3:J32)</f>
        <v/>
      </c>
      <c r="G13" s="5">
        <f>D13-F13</f>
        <v/>
      </c>
      <c r="H13" s="25">
        <f>IF(B13=0,"",G13/B13)</f>
        <v/>
      </c>
    </row>
    <row r="14">
      <c r="A14" s="16" t="inlineStr">
        <is>
          <t>12月</t>
        </is>
      </c>
      <c r="B14" s="5">
        <f>SUMPRODUCT((MONTH('每日記錄 Daily Input'!A3:A32)=12)*'每日記錄 Daily Input'!B3:B32)</f>
        <v/>
      </c>
      <c r="C14" s="5">
        <f>SUMPRODUCT((MONTH('每日記錄 Daily Input'!A3:A32)=12)*'每日記錄 Daily Input'!C3:C32)</f>
        <v/>
      </c>
      <c r="D14" s="5">
        <f>B14-C14</f>
        <v/>
      </c>
      <c r="E14" s="25">
        <f>IF(B14=0,"",D14/B14)</f>
        <v/>
      </c>
      <c r="F14" s="5">
        <f>SUMPRODUCT((MONTH('每日記錄 Daily Input'!A3:A32)=12)*'每日記錄 Daily Input'!J3:J32)</f>
        <v/>
      </c>
      <c r="G14" s="5">
        <f>D14-F14</f>
        <v/>
      </c>
      <c r="H14" s="25">
        <f>IF(B14=0,"",G14/B14)</f>
        <v/>
      </c>
    </row>
    <row r="15">
      <c r="A15" s="17" t="inlineStr">
        <is>
          <t>年度合計
Annual</t>
        </is>
      </c>
      <c r="B15" s="11">
        <f>SUM(B3:B14)</f>
        <v/>
      </c>
      <c r="C15" s="11">
        <f>SUM(C3:C14)</f>
        <v/>
      </c>
      <c r="D15" s="11">
        <f>SUM(D3:D14)</f>
        <v/>
      </c>
      <c r="E15" s="27">
        <f>IF(B15=0,"",D15/B15)</f>
        <v/>
      </c>
      <c r="F15" s="11">
        <f>SUM(F3:F14)</f>
        <v/>
      </c>
      <c r="G15" s="11">
        <f>SUM(G3:G14)</f>
        <v/>
      </c>
      <c r="H15" s="27">
        <f>IF(B15=0,"",G15/B15)</f>
        <v/>
      </c>
    </row>
  </sheetData>
  <sheetProtection selectLockedCells="0" selectUnlockedCells="0" sheet="1" objects="0" insertRows="1" insertHyperlinks="1" autoFilter="1" scenarios="0" formatColumns="0" deleteColumns="1" insertColumns="1" pivotTables="1" deleteRows="1" formatCells="0" formatRows="0" sort="1"/>
  <mergeCells count="1">
    <mergeCell ref="A1:I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I28"/>
  <sheetViews>
    <sheetView workbookViewId="0">
      <pane ySplit="2" topLeftCell="A3"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40" customHeight="1">
      <c r="A1" s="18" t="inlineStr">
        <is>
          <t>財務儀表板 Financial Dashboard</t>
        </is>
      </c>
    </row>
    <row r="3" ht="35" customHeight="1">
      <c r="B3" s="28" t="inlineStr">
        <is>
          <t>本月營收
Revenue</t>
        </is>
      </c>
      <c r="C3" s="29" t="n"/>
      <c r="E3" s="28" t="inlineStr">
        <is>
          <t>毛利率
Gross Margin</t>
        </is>
      </c>
      <c r="F3" s="29" t="n"/>
      <c r="H3" s="28" t="inlineStr">
        <is>
          <t>營業利益
Op. Income</t>
        </is>
      </c>
      <c r="I3" s="29" t="n"/>
    </row>
    <row r="4" ht="50" customHeight="1">
      <c r="B4" s="30">
        <f>'月報表 Monthly Summary'!B4</f>
        <v/>
      </c>
      <c r="C4" s="31" t="n"/>
      <c r="E4" s="32">
        <f>'月報表 Monthly Summary'!E4</f>
        <v/>
      </c>
      <c r="F4" s="31" t="n"/>
      <c r="H4" s="30">
        <f>'月報表 Monthly Summary'!G4</f>
        <v/>
      </c>
      <c r="I4" s="31" t="n"/>
    </row>
    <row r="25">
      <c r="A25" t="inlineStr">
        <is>
          <t>人事費用 Payroll</t>
        </is>
      </c>
      <c r="B25">
        <f>SUMPRODUCT((MONTH('每日記錄 Daily Input'!A3:A32)=MONTH(TODAY()))*'每日記錄 Daily Input'!D3:D32)</f>
        <v/>
      </c>
    </row>
    <row r="26">
      <c r="A26" t="inlineStr">
        <is>
          <t>租金 Rent</t>
        </is>
      </c>
      <c r="B26">
        <f>SUMPRODUCT((MONTH('每日記錄 Daily Input'!A3:A32)=MONTH(TODAY()))*'每日記錄 Daily Input'!E3:E32)</f>
        <v/>
      </c>
    </row>
    <row r="27">
      <c r="A27" t="inlineStr">
        <is>
          <t>行銷費用 Marketing</t>
        </is>
      </c>
      <c r="B27">
        <f>SUMPRODUCT((MONTH('每日記錄 Daily Input'!A3:A32)=MONTH(TODAY()))*'每日記錄 Daily Input'!F3:F32)</f>
        <v/>
      </c>
    </row>
    <row r="28">
      <c r="A28" t="inlineStr">
        <is>
          <t>其他費用 Other</t>
        </is>
      </c>
      <c r="B28">
        <f>SUMPRODUCT((MONTH('每日記錄 Daily Input'!A3:A32)=MONTH(TODAY()))*'每日記錄 Daily Input'!G3:G32)</f>
        <v/>
      </c>
    </row>
  </sheetData>
  <mergeCells count="7">
    <mergeCell ref="E4:F4"/>
    <mergeCell ref="B3:C3"/>
    <mergeCell ref="H4:I4"/>
    <mergeCell ref="A1:H1"/>
    <mergeCell ref="B4:C4"/>
    <mergeCell ref="E3:F3"/>
    <mergeCell ref="H3:I3"/>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2026-02-28T09:33:18Z</dcterms:created>
  <dcterms:modified xsi:type="dcterms:W3CDTF">2026-02-28T09:38:49Z</dcterms:modified>
</cp:coreProperties>
</file>